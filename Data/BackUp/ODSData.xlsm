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G\Workspace\PC\Data\BackUp\"/>
    </mc:Choice>
  </mc:AlternateContent>
  <bookViews>
    <workbookView xWindow="0" yWindow="0" windowWidth="19200" windowHeight="9435" tabRatio="924" activeTab="10"/>
  </bookViews>
  <sheets>
    <sheet name="TestCase" sheetId="5" r:id="rId1"/>
    <sheet name="Login" sheetId="21" r:id="rId2"/>
    <sheet name="LogOut" sheetId="20" r:id="rId3"/>
    <sheet name="GetDataFromPCForODS" sheetId="104" r:id="rId4"/>
    <sheet name="MDM" sheetId="105" r:id="rId5"/>
    <sheet name="ODS" sheetId="102" r:id="rId6"/>
    <sheet name="SearchPolicy" sheetId="113" r:id="rId7"/>
    <sheet name="Validation" sheetId="103" r:id="rId8"/>
    <sheet name="TestData" sheetId="95" r:id="rId9"/>
    <sheet name="SearchAffinityGroup" sheetId="111" r:id="rId10"/>
    <sheet name="SearchAffinityGroup_1" sheetId="107" r:id="rId11"/>
    <sheet name="NewAffinityGroup" sheetId="110" r:id="rId12"/>
    <sheet name="NewAffinityGroup_1" sheetId="106" r:id="rId13"/>
    <sheet name="SearchNewAccount" sheetId="80" r:id="rId14"/>
    <sheet name="CreateAccount" sheetId="3" r:id="rId15"/>
    <sheet name="EditAccount" sheetId="23" r:id="rId16"/>
    <sheet name="SearchAccount" sheetId="18" r:id="rId17"/>
    <sheet name="PolicyMove" sheetId="88" r:id="rId18"/>
    <sheet name="AccountMerge" sheetId="45" r:id="rId19"/>
    <sheet name="AccountMergeVerification" sheetId="49" r:id="rId20"/>
    <sheet name="ActivityPattern" sheetId="70" r:id="rId21"/>
    <sheet name="ManageActivity" sheetId="59" r:id="rId22"/>
    <sheet name="CLAPolicyInfo" sheetId="112" r:id="rId23"/>
    <sheet name="AccountContact" sheetId="55" r:id="rId24"/>
    <sheet name="NewSubmission" sheetId="44" r:id="rId25"/>
    <sheet name="PolicyInfo" sheetId="36" r:id="rId26"/>
    <sheet name="Locations" sheetId="37" r:id="rId27"/>
    <sheet name="StateCoverage" sheetId="38" r:id="rId28"/>
    <sheet name="LineCoverage" sheetId="39" r:id="rId29"/>
    <sheet name="WCOptions" sheetId="40" r:id="rId30"/>
    <sheet name="RiskAnalysis" sheetId="41" r:id="rId31"/>
    <sheet name="PolicyReview" sheetId="42" r:id="rId32"/>
    <sheet name="Payment" sheetId="43" r:id="rId33"/>
    <sheet name="Contact" sheetId="109" r:id="rId34"/>
    <sheet name="CancelPolicy" sheetId="114" r:id="rId35"/>
    <sheet name="ReinstatePolicy" sheetId="116" r:id="rId36"/>
    <sheet name="PolicyChange" sheetId="115" r:id="rId37"/>
    <sheet name="CLAPayment" sheetId="118" r:id="rId38"/>
    <sheet name="MaintainanceTransactions" sheetId="119" r:id="rId39"/>
    <sheet name="RenewalPolicy" sheetId="120" r:id="rId40"/>
    <sheet name="RewritePolicySOR" sheetId="117" r:id="rId41"/>
  </sheets>
  <definedNames>
    <definedName name="_xlnm._FilterDatabase" localSheetId="0" hidden="1">TestCase!$A$1:$Z$5</definedName>
    <definedName name="_xlnm._FilterDatabase" localSheetId="7" hidden="1">Validation!$A$1:$WVW$205</definedName>
  </definedNames>
  <calcPr calcId="162913"/>
</workbook>
</file>

<file path=xl/calcChain.xml><?xml version="1.0" encoding="utf-8"?>
<calcChain xmlns="http://schemas.openxmlformats.org/spreadsheetml/2006/main">
  <c r="C20" i="119" l="1"/>
  <c r="C19" i="119"/>
  <c r="C17" i="119"/>
  <c r="F22" i="18" l="1"/>
  <c r="L6" i="88" l="1"/>
  <c r="L7" i="88"/>
  <c r="F32" i="18" l="1"/>
  <c r="D9" i="113" l="1"/>
  <c r="D10" i="113" s="1"/>
  <c r="G4" i="111" l="1"/>
  <c r="G3" i="111"/>
  <c r="L4" i="110"/>
  <c r="K4" i="110"/>
  <c r="J4" i="110"/>
  <c r="BD3" i="110"/>
  <c r="BC3" i="110"/>
  <c r="BB3" i="110"/>
  <c r="K4" i="45" l="1"/>
  <c r="F28" i="18" l="1"/>
  <c r="F29" i="18" s="1"/>
  <c r="N7" i="88" l="1"/>
  <c r="I7" i="88" l="1"/>
  <c r="F25" i="18"/>
  <c r="F26" i="18"/>
  <c r="I6" i="88" l="1"/>
  <c r="K9" i="45" l="1"/>
  <c r="F11" i="18" l="1"/>
  <c r="F12" i="18"/>
  <c r="F13" i="18"/>
  <c r="F14" i="18"/>
  <c r="F15" i="18"/>
  <c r="F16" i="18"/>
  <c r="F17" i="18"/>
  <c r="F18" i="18"/>
  <c r="F19" i="18"/>
  <c r="F24" i="18" l="1"/>
  <c r="G4" i="49" l="1"/>
  <c r="R5" i="45"/>
  <c r="K12" i="45" l="1"/>
  <c r="K10" i="45"/>
  <c r="K8" i="45"/>
  <c r="K7" i="45"/>
  <c r="K5" i="45"/>
</calcChain>
</file>

<file path=xl/sharedStrings.xml><?xml version="1.0" encoding="utf-8"?>
<sst xmlns="http://schemas.openxmlformats.org/spreadsheetml/2006/main" count="14865" uniqueCount="2181">
  <si>
    <t>ID</t>
  </si>
  <si>
    <t>TC1</t>
  </si>
  <si>
    <t>TC2</t>
  </si>
  <si>
    <t>YES</t>
  </si>
  <si>
    <t>TestCaseName</t>
  </si>
  <si>
    <t>TestCaseID</t>
  </si>
  <si>
    <t>TestSetID</t>
  </si>
  <si>
    <t>Execution</t>
  </si>
  <si>
    <t>Status</t>
  </si>
  <si>
    <t>SearchNewAccount</t>
  </si>
  <si>
    <t>NewSubmission</t>
  </si>
  <si>
    <t>PolicyInfo</t>
  </si>
  <si>
    <t>Locations</t>
  </si>
  <si>
    <t>WCOptions</t>
  </si>
  <si>
    <t>RiskAnalysis</t>
  </si>
  <si>
    <t>CreateAccount</t>
  </si>
  <si>
    <t>TC3</t>
  </si>
  <si>
    <t>LogOut</t>
  </si>
  <si>
    <t>Iteration</t>
  </si>
  <si>
    <t>edtUserName</t>
  </si>
  <si>
    <t>btnLogin</t>
  </si>
  <si>
    <t>edtCompanyName</t>
  </si>
  <si>
    <t>eleDeskTopAction</t>
  </si>
  <si>
    <t>eleDeskTopNewAccount</t>
  </si>
  <si>
    <t>eleAccountInfoSearch</t>
  </si>
  <si>
    <t>eleAccountInfoCreateNewAccount</t>
  </si>
  <si>
    <t>eleCreateNewAccountForPerson</t>
  </si>
  <si>
    <t>elePreferences</t>
  </si>
  <si>
    <t>eleLogOut</t>
  </si>
  <si>
    <t>06040</t>
  </si>
  <si>
    <t>LLC</t>
  </si>
  <si>
    <t>eleOrgResSearch</t>
  </si>
  <si>
    <t>eleOrgSearchResults</t>
  </si>
  <si>
    <t>lstProducerCode</t>
  </si>
  <si>
    <t>eleUpdate</t>
  </si>
  <si>
    <t>edtFirstName</t>
  </si>
  <si>
    <t>edtLastName</t>
  </si>
  <si>
    <t>edtAddress1</t>
  </si>
  <si>
    <t>edtCity</t>
  </si>
  <si>
    <t>lstState</t>
  </si>
  <si>
    <t>lstAddressType</t>
  </si>
  <si>
    <t>lstOrgType</t>
  </si>
  <si>
    <t>eleOrgSearch</t>
  </si>
  <si>
    <t>AccountNumber</t>
  </si>
  <si>
    <t>melAccount</t>
  </si>
  <si>
    <t>edtaccountNumber</t>
  </si>
  <si>
    <t>edtOrganizationName</t>
  </si>
  <si>
    <t>eleNext</t>
  </si>
  <si>
    <t>elePISaveDraft</t>
  </si>
  <si>
    <t>eleLocSaveDraft</t>
  </si>
  <si>
    <t>eleWCSaveDraft</t>
  </si>
  <si>
    <t>eleWCOptSaveDraft</t>
  </si>
  <si>
    <t>eleWCOpt</t>
  </si>
  <si>
    <t>Iterations</t>
  </si>
  <si>
    <t>eleRASaveDraft</t>
  </si>
  <si>
    <t>eleDetails</t>
  </si>
  <si>
    <t>eleAlertPopUp</t>
  </si>
  <si>
    <t>eleIssuePolicy</t>
  </si>
  <si>
    <t>eleBindOption</t>
  </si>
  <si>
    <t>elePRQuote</t>
  </si>
  <si>
    <t>Direct Bill</t>
  </si>
  <si>
    <t>lstBillingMethod</t>
  </si>
  <si>
    <t>elePaymentPage</t>
  </si>
  <si>
    <t>lstProduverCodeList</t>
  </si>
  <si>
    <t>eleSearchResult</t>
  </si>
  <si>
    <t>eleSearchButton</t>
  </si>
  <si>
    <t>edtOrganisationName</t>
  </si>
  <si>
    <t>eleOrganisationSearch</t>
  </si>
  <si>
    <t>eleNewSubmission</t>
  </si>
  <si>
    <t>eleActions</t>
  </si>
  <si>
    <t>SampleData003</t>
  </si>
  <si>
    <t>funPolicyNumber</t>
  </si>
  <si>
    <t>edtFEIN</t>
  </si>
  <si>
    <t>eleIndustryCodeSearch</t>
  </si>
  <si>
    <t>edtIndustryCode</t>
  </si>
  <si>
    <t>btnSearchButton</t>
  </si>
  <si>
    <t>eleSelectCode</t>
  </si>
  <si>
    <t>funApproveCount</t>
  </si>
  <si>
    <t>PolicyNumber</t>
  </si>
  <si>
    <t>funSubmissionNumber</t>
  </si>
  <si>
    <t>SubmissionNumber</t>
  </si>
  <si>
    <t>edtIndusCode</t>
  </si>
  <si>
    <t>NO</t>
  </si>
  <si>
    <t>eleZipCode</t>
  </si>
  <si>
    <t>eleCity</t>
  </si>
  <si>
    <t>Mccaw Insurance Agency</t>
  </si>
  <si>
    <t>eleStandardise</t>
  </si>
  <si>
    <t>eleNew</t>
  </si>
  <si>
    <t>lstSegment</t>
  </si>
  <si>
    <t>Select Customer</t>
  </si>
  <si>
    <t>edtNAICS</t>
  </si>
  <si>
    <t>edtMSI</t>
  </si>
  <si>
    <t>edtEBS</t>
  </si>
  <si>
    <t>119</t>
  </si>
  <si>
    <t>2000</t>
  </si>
  <si>
    <t>lstSubmissionSource</t>
  </si>
  <si>
    <t>Corporation</t>
  </si>
  <si>
    <t>Non Par - WE</t>
  </si>
  <si>
    <t>E-mail</t>
  </si>
  <si>
    <t>lstUWCompanies</t>
  </si>
  <si>
    <t>1 - The Hartford Fire Insurance Company</t>
  </si>
  <si>
    <t>eleRAQuote</t>
  </si>
  <si>
    <t>lstBillingNumber</t>
  </si>
  <si>
    <t>Enter</t>
  </si>
  <si>
    <t>edtBillingNumber</t>
  </si>
  <si>
    <t>btnAccountSearch</t>
  </si>
  <si>
    <t>lstPay</t>
  </si>
  <si>
    <t>Full Pay (100%Down)</t>
  </si>
  <si>
    <t>edtNPNNum</t>
  </si>
  <si>
    <t>8976543</t>
  </si>
  <si>
    <t>eleUWInfo</t>
  </si>
  <si>
    <t>lstBestIndex</t>
  </si>
  <si>
    <t>02</t>
  </si>
  <si>
    <t>sclQuote</t>
  </si>
  <si>
    <t>TC4</t>
  </si>
  <si>
    <t>StateCoverage</t>
  </si>
  <si>
    <t>LineCoverage</t>
  </si>
  <si>
    <t>PolicyReview</t>
  </si>
  <si>
    <t>Payment</t>
  </si>
  <si>
    <t>eleAccMerge</t>
  </si>
  <si>
    <t>eleSearch</t>
  </si>
  <si>
    <t>eleSelect</t>
  </si>
  <si>
    <t>eleMerge</t>
  </si>
  <si>
    <t>TC6</t>
  </si>
  <si>
    <t>edtEffDate</t>
  </si>
  <si>
    <t>lstBusinessGroup</t>
  </si>
  <si>
    <t>Small Commercial</t>
  </si>
  <si>
    <t>Company Sale</t>
  </si>
  <si>
    <t>123456789012345</t>
  </si>
  <si>
    <t>eleMVSearch</t>
  </si>
  <si>
    <t>edtSourceAccount</t>
  </si>
  <si>
    <t>funVerifyAccMerge</t>
  </si>
  <si>
    <t>TC5</t>
  </si>
  <si>
    <t>eleMergeCancel</t>
  </si>
  <si>
    <t>TC7</t>
  </si>
  <si>
    <t>TC8</t>
  </si>
  <si>
    <t>TC9</t>
  </si>
  <si>
    <t>funVerifySearchResults</t>
  </si>
  <si>
    <t>edtAccNum</t>
  </si>
  <si>
    <t>edtMergeCompanyName</t>
  </si>
  <si>
    <t>Merge Validation:::Account Merge is complete. Please review and update AIF in other systems as needed.</t>
  </si>
  <si>
    <t>AccountMergewithoutPermission</t>
  </si>
  <si>
    <t>AccountMergeCancel:::Company Name</t>
  </si>
  <si>
    <t>SourceAccountNotExist:::The search returned zero results.</t>
  </si>
  <si>
    <t>TargetAccountNotExist</t>
  </si>
  <si>
    <t>CheckingMinFieldValidation:::Please enter one of the minimum required fields: Company Name, Phone, FEIN, Alliance Member, AIF Number, Account Number</t>
  </si>
  <si>
    <t>CHECKINGRESET</t>
  </si>
  <si>
    <t>btnResetbtn</t>
  </si>
  <si>
    <t>Checkingatthreechar:::aaAt least three characters are required when Company Name is not an exact match</t>
  </si>
  <si>
    <t>aa</t>
  </si>
  <si>
    <t>*</t>
  </si>
  <si>
    <t>eleCompMatch</t>
  </si>
  <si>
    <t>CheckingExactMatchWithCheck:::* Wildcard (*) can not be used when Company Name is an exact match</t>
  </si>
  <si>
    <t>edtAllianceNum</t>
  </si>
  <si>
    <t>123456789</t>
  </si>
  <si>
    <t>edtAIFNum</t>
  </si>
  <si>
    <t>aaaa</t>
  </si>
  <si>
    <t>TC10</t>
  </si>
  <si>
    <t>eleContacts</t>
  </si>
  <si>
    <t>eleRole</t>
  </si>
  <si>
    <t>eleMAHTable1</t>
  </si>
  <si>
    <t>VERIFYMAHNEWROLE:::Merged Account Holder</t>
  </si>
  <si>
    <t>VERIFYNEWROLEACTIVE:::No</t>
  </si>
  <si>
    <t>edtFEINNum</t>
  </si>
  <si>
    <t>246 Buckland Hills Drive</t>
  </si>
  <si>
    <t>eleEdtButton</t>
  </si>
  <si>
    <t>edtMerAIFNum</t>
  </si>
  <si>
    <t>edtMerFEIN</t>
  </si>
  <si>
    <t>edtMerExperian</t>
  </si>
  <si>
    <t>75-1330802</t>
  </si>
  <si>
    <t>edtMerAllianceNum</t>
  </si>
  <si>
    <t>btnUpdate</t>
  </si>
  <si>
    <t>TC11</t>
  </si>
  <si>
    <t>eleEditUpdate</t>
  </si>
  <si>
    <t>VERIFYAIFFEINALLIACENUM:::1234567890:::123456789:::75-1330802</t>
  </si>
  <si>
    <t>VERIFYAIFMSG:::Account Merge is complete. Please review and update AIF in other systems as needed.</t>
  </si>
  <si>
    <t>melSearch</t>
  </si>
  <si>
    <t>eleSearchAccount</t>
  </si>
  <si>
    <t>VerifySourceAccExistorNot:::The search returned zero results.</t>
  </si>
  <si>
    <t>State Act:::1: 246 BUCKLAND HILLS DR, MANCHESTER, CT:::2802:::1234</t>
  </si>
  <si>
    <t>elePolicyMove</t>
  </si>
  <si>
    <t>TC12</t>
  </si>
  <si>
    <t>funPolicyMoveVerification</t>
  </si>
  <si>
    <t>funSelectMovePolicies</t>
  </si>
  <si>
    <t>btnMergePolicy</t>
  </si>
  <si>
    <t>TC13</t>
  </si>
  <si>
    <t>funCheckMultiplePolicyCheck</t>
  </si>
  <si>
    <t>TC14</t>
  </si>
  <si>
    <t>TC15</t>
  </si>
  <si>
    <t>TC16</t>
  </si>
  <si>
    <t>TC17</t>
  </si>
  <si>
    <t>TC18</t>
  </si>
  <si>
    <t>TC19</t>
  </si>
  <si>
    <t>eleCreateNewContact</t>
  </si>
  <si>
    <t>elePrimaryContact</t>
  </si>
  <si>
    <t>edtFName</t>
  </si>
  <si>
    <t>edtLName</t>
  </si>
  <si>
    <t>EditAccount</t>
  </si>
  <si>
    <t>eleContactUpdate</t>
  </si>
  <si>
    <t>eleSecondaryContact</t>
  </si>
  <si>
    <t>eleSecondaryNewPerson</t>
  </si>
  <si>
    <t>elePrimaryNewPerson</t>
  </si>
  <si>
    <t>0570356614</t>
  </si>
  <si>
    <t>(Src Acc Name):::Merge Account Holder:::No:::(Tgt Acc Primary Contact Name):::Primary Contact:::(Source Acc Primary Contact Name):::(Src Additional contact name):::Secoundary Contact:::Yes</t>
  </si>
  <si>
    <t>funVerifyResults</t>
  </si>
  <si>
    <t>CHECKINGALLINUM:::123456 must be 7 to 9 digit number</t>
  </si>
  <si>
    <t>CHECKINGAIFNUM:::123456789 must be 10 digit number</t>
  </si>
  <si>
    <t>CHECKINGACCOUNTNUM:::1234567890 must enter 15 digit number</t>
  </si>
  <si>
    <t>CHECKINGFEINNUM:::FEIN must be a nine-digit number, with a hyphen after the first two numbers</t>
  </si>
  <si>
    <t>CHECKINGEXPERIANKEY:::Experian Key must be a 9 or 13 digit number</t>
  </si>
  <si>
    <t>eleAccountDetailTab</t>
  </si>
  <si>
    <t>pwdPassword</t>
  </si>
  <si>
    <t>funWaitPageCheck</t>
  </si>
  <si>
    <t>eleCreateNewAccountforCompany</t>
  </si>
  <si>
    <t>eleRoleTab</t>
  </si>
  <si>
    <t>edtBillingContactName</t>
  </si>
  <si>
    <t>edtContactName</t>
  </si>
  <si>
    <t>eleAccountFileContactUpdate</t>
  </si>
  <si>
    <t>eleAccountFileContactRoleTab</t>
  </si>
  <si>
    <t>eleAddRoleBC</t>
  </si>
  <si>
    <t>eleAddressTab</t>
  </si>
  <si>
    <t>eleAddAddress</t>
  </si>
  <si>
    <t>lstAddZipCode</t>
  </si>
  <si>
    <t>eleAddStandardize</t>
  </si>
  <si>
    <t>eleAddOK</t>
  </si>
  <si>
    <t>Login</t>
  </si>
  <si>
    <t>edtAddAddress1</t>
  </si>
  <si>
    <t>funAccountFileEditTable</t>
  </si>
  <si>
    <t>funSetContactAsPrimary</t>
  </si>
  <si>
    <t>eleAdrressesTab</t>
  </si>
  <si>
    <t>eleAssociatedPoliceis</t>
  </si>
  <si>
    <t>CHECKINGALLINUM:::Alliance Number must be 7 to 9 digit number</t>
  </si>
  <si>
    <t>CHECKINGAIFNUM:::AIF Number must be 10 digit number</t>
  </si>
  <si>
    <t>CHECKINGACCOUNTNUM:::Account Number must enter 15 digit number</t>
  </si>
  <si>
    <t>CHECKINGFEINNUM:::FEIN must be a nine-digit number, with an hyphen after the first two numbers</t>
  </si>
  <si>
    <t>eleNewActivity</t>
  </si>
  <si>
    <t>eleReminder</t>
  </si>
  <si>
    <t>eleFollowUp</t>
  </si>
  <si>
    <t>eleActivityOK</t>
  </si>
  <si>
    <t>General</t>
  </si>
  <si>
    <t>Automation</t>
  </si>
  <si>
    <t>TC4_1</t>
  </si>
  <si>
    <t>TC4_2</t>
  </si>
  <si>
    <t>TC11_1</t>
  </si>
  <si>
    <t>TC11_2</t>
  </si>
  <si>
    <t>TC19_1</t>
  </si>
  <si>
    <t>TC19_2</t>
  </si>
  <si>
    <t>VERIFYROLEANDPRIMARYCONTACT:::AccountMergeSrcRole:::Merged Account Holder:::No:::TgtPrimary Contact:::Primary Contact:::SrcPrimary Contact:::SrcAdditional Contact:::Secondary Contact:::Yes</t>
  </si>
  <si>
    <t>TC12_1</t>
  </si>
  <si>
    <t>TC12_2</t>
  </si>
  <si>
    <t>Desc</t>
  </si>
  <si>
    <t>TC13_1</t>
  </si>
  <si>
    <t>eleCloseActivity</t>
  </si>
  <si>
    <t>eleActivityFollowUpList</t>
  </si>
  <si>
    <t>clrDueDate</t>
  </si>
  <si>
    <t>clrEscalationDate</t>
  </si>
  <si>
    <t>TC12_3</t>
  </si>
  <si>
    <t>eleAddZipCode</t>
  </si>
  <si>
    <t>funAddAddressEnable</t>
  </si>
  <si>
    <t>lstTopicAM</t>
  </si>
  <si>
    <t>edtTextAM</t>
  </si>
  <si>
    <t>eleActivityCancel</t>
  </si>
  <si>
    <t>eleCompleteAcitivity</t>
  </si>
  <si>
    <t>eleCloseCreateNew</t>
  </si>
  <si>
    <t>melAdministration</t>
  </si>
  <si>
    <t>funAcitivityPattern</t>
  </si>
  <si>
    <t>eleNewActivityPattern</t>
  </si>
  <si>
    <t>edtSubject</t>
  </si>
  <si>
    <t>edtCode</t>
  </si>
  <si>
    <t>lstPatternLevel</t>
  </si>
  <si>
    <t>All</t>
  </si>
  <si>
    <t>eleBSAdd</t>
  </si>
  <si>
    <t>funBussinessSegment</t>
  </si>
  <si>
    <t>funActivityPatternResults</t>
  </si>
  <si>
    <t>eleUpdateAP</t>
  </si>
  <si>
    <t>eleLastPageArrow</t>
  </si>
  <si>
    <t>eleCancelAP</t>
  </si>
  <si>
    <t>eleUpToActivityPattern</t>
  </si>
  <si>
    <t>eleDeleteAP</t>
  </si>
  <si>
    <t>eleEditAP</t>
  </si>
  <si>
    <t>edtEditSubject</t>
  </si>
  <si>
    <t>eleEditUpdateAP</t>
  </si>
  <si>
    <t>eleEditUptoLink</t>
  </si>
  <si>
    <t>eleEditCancelAP</t>
  </si>
  <si>
    <t>eleRecurringYes</t>
  </si>
  <si>
    <t>lstPriority</t>
  </si>
  <si>
    <t>Normal</t>
  </si>
  <si>
    <t>lstCategory</t>
  </si>
  <si>
    <t>Billing</t>
  </si>
  <si>
    <t>eleRemoveBS</t>
  </si>
  <si>
    <t>eleSelectBS</t>
  </si>
  <si>
    <t>lstZipCode</t>
  </si>
  <si>
    <t>eljWorkerComp</t>
  </si>
  <si>
    <t>Priority</t>
  </si>
  <si>
    <t>TestCondition</t>
  </si>
  <si>
    <t>Use Case</t>
  </si>
  <si>
    <t>AM</t>
  </si>
  <si>
    <t>PM</t>
  </si>
  <si>
    <t>Smoke</t>
  </si>
  <si>
    <t>cfuWait</t>
  </si>
  <si>
    <t>71923-6011</t>
  </si>
  <si>
    <t>eljShell</t>
  </si>
  <si>
    <t>eljSOR</t>
  </si>
  <si>
    <t>funDefaultEffectiveDate</t>
  </si>
  <si>
    <t>funSelectLOB</t>
  </si>
  <si>
    <t>funDataFill</t>
  </si>
  <si>
    <t>Not Needed this scenario</t>
  </si>
  <si>
    <t>Workers' Compensation:::SOR</t>
  </si>
  <si>
    <t>Yes</t>
  </si>
  <si>
    <t>ProductSelect</t>
  </si>
  <si>
    <t>Shell</t>
  </si>
  <si>
    <t>SOR</t>
  </si>
  <si>
    <t>funAddClass</t>
  </si>
  <si>
    <t>TC3_1</t>
  </si>
  <si>
    <t>SampleData004</t>
  </si>
  <si>
    <t>502 S Sixth Street</t>
  </si>
  <si>
    <t>State Act:::1: 502 S 6TH ST, ARKADELPHIA, AR:::2802:::1234</t>
  </si>
  <si>
    <t>CreateAccountPolicyCT</t>
  </si>
  <si>
    <t>CreateAccountPolicyAR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</si>
  <si>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</si>
  <si>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</si>
  <si>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</si>
  <si>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</si>
  <si>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</si>
  <si>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</si>
  <si>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</si>
  <si>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Component8</t>
  </si>
  <si>
    <t>Component9</t>
  </si>
  <si>
    <t>Component10</t>
  </si>
  <si>
    <t>Component11</t>
  </si>
  <si>
    <t>Component12</t>
  </si>
  <si>
    <t>Component13</t>
  </si>
  <si>
    <t>Component14</t>
  </si>
  <si>
    <t>Component15</t>
  </si>
  <si>
    <t>Component16</t>
  </si>
  <si>
    <t>eleSearchLookUpMA</t>
  </si>
  <si>
    <t>lstMAQueue</t>
  </si>
  <si>
    <t>edtMAQueue</t>
  </si>
  <si>
    <t>eleMAAssignQueue</t>
  </si>
  <si>
    <t>eleMASearch</t>
  </si>
  <si>
    <t>cfuTestDataFill</t>
  </si>
  <si>
    <t>edtMAUserName</t>
  </si>
  <si>
    <t>eleMAUNAssign</t>
  </si>
  <si>
    <t>147764852811022</t>
  </si>
  <si>
    <t>147764859071937</t>
  </si>
  <si>
    <t>147765052329063</t>
  </si>
  <si>
    <t>147765077347510</t>
  </si>
  <si>
    <t>46WECAA00JW</t>
  </si>
  <si>
    <t>147798651328262</t>
  </si>
  <si>
    <t>eleMAPoleleActions</t>
  </si>
  <si>
    <t>eleMAPolNewActivity</t>
  </si>
  <si>
    <t>eleMAPolReminder</t>
  </si>
  <si>
    <t>eleMAPolFollowUp</t>
  </si>
  <si>
    <t>elePolicyNumber</t>
  </si>
  <si>
    <t>Commercial Auto:::Shell</t>
  </si>
  <si>
    <t>147809894513710</t>
  </si>
  <si>
    <t>AccountNumber:::TestData</t>
  </si>
  <si>
    <t>147827092211171</t>
  </si>
  <si>
    <t>Issue Policy</t>
  </si>
  <si>
    <t>bliPayBindOption</t>
  </si>
  <si>
    <t>SampleData002_1</t>
  </si>
  <si>
    <t>funDBValidation</t>
  </si>
  <si>
    <t>ODS</t>
  </si>
  <si>
    <t>MDM</t>
  </si>
  <si>
    <t>PCFieldName</t>
  </si>
  <si>
    <t>PCFieldValue</t>
  </si>
  <si>
    <t>DBFieldName</t>
  </si>
  <si>
    <t>DBFieldValue</t>
  </si>
  <si>
    <t>TranslationLogic</t>
  </si>
  <si>
    <t>InPut</t>
  </si>
  <si>
    <t>AffinityGroup_AffinityName</t>
  </si>
  <si>
    <t>SQL</t>
  </si>
  <si>
    <t>ofuProducerCodespage</t>
  </si>
  <si>
    <t>ofuProductspage</t>
  </si>
  <si>
    <t>ofuJurisdictionpage</t>
  </si>
  <si>
    <t>ofuPolicySummarypage</t>
  </si>
  <si>
    <t>PolicySummary_AccountNumber</t>
  </si>
  <si>
    <t>PolicySummary_PolicyNumber</t>
  </si>
  <si>
    <t>AccountIdentifier</t>
  </si>
  <si>
    <t>SELECT ce.admin_client_id as AccountIdentifier, cdst.name as Accountsourcesystem,orgnm.org_name as OrganizationName,idf.ref_num as FIEN,ad.Addr_line_one as AddressLine1, ad.city_name as city, CDP.DESCRIPTION as StateProvince, ad.postal_code as zipcode
  FROM $SchemaName$.address ad
       LEFT OUTER JOIN $SchemaName$.ADDRESSGROUP ag
          ON ad.address_id = ag.address_id
       LEFT OUTER JOIN $SchemaName$.LOCATIONGROUP lg
          ON ag.location_group_id = lg.location_group_id
          left outer join $SchemaName$.cdprovstatetp cdp
          on CDP.PROV_STATE_TP_CD = ad.prov_state_tp_cd
          left outer join $SchemaName$.contequiv ce
          on ce.cont_id = lg.cont_id
          left outer join $SchemaName$.orgname orgnm
          on orgnm.cont_id = ce.cont_id
          left outer join $SchemaName$.identifier idf
          on idf.cont_id = lg.cont_id
          left outer join $SchemaName$.cdadminsystp cdst
          on cdst.admin_sys_tp_cd = ce.admin_sys_tp_cd
          where ce.admin_client_id = '$AccountNumber$' and idf.id_tp_cd = 5</t>
  </si>
  <si>
    <t>select nk.ADMIN_CONTRACT_ID As PolicyNumber,nk.* from $SchemaName$.nativekey nk
left outer join $SchemaName$.contract crt on NK.CONTRACT_ID = crt.CONTRACT_ID  
left outer join $SchemaName$.contractcomponent cc on CRT.CONTRACT_ID = CC.CONTRACT_ID
left outer join $SchemaName$.contractrole cr on CC.CONTR_COMPONENT_ID = CR.CONTR_COMPONENT_ID 
left outer join $SchemaName$.contact ct on cr.cont_id = ct.cont_id
left outer join $SchemaName$.contequiv cq on ct.cont_id = cq.cont_id
where nk.admin_contract_id = '$PolicyNumber$' and nk.admin_fld_nm_tp_cd = 7</t>
  </si>
  <si>
    <t>select aa.EXTRNL_REF As AccountNumber,aa.* from $SchemaName$.EXTERNAL_ORGANISATION aa where aa.extrnl_ref = '$AccountNumber$'</t>
  </si>
  <si>
    <t>Environment</t>
  </si>
  <si>
    <t>Text</t>
  </si>
  <si>
    <t>GetDataFromPCForODS</t>
  </si>
  <si>
    <t>TC_01_ODS_R2_1007_To verify that ODS gets notified when a new Affinity group is added with all the fields</t>
  </si>
  <si>
    <t>NewAffinityGroup</t>
  </si>
  <si>
    <t>eleAdministration</t>
  </si>
  <si>
    <t>eleAuthorityActions</t>
  </si>
  <si>
    <t>eleNewAffinityGroup</t>
  </si>
  <si>
    <t>eleAffinityGroup_Edit</t>
  </si>
  <si>
    <t>edtCommertialProgramName</t>
  </si>
  <si>
    <t>edtAffGroupName</t>
  </si>
  <si>
    <t>edtAthorityCPID</t>
  </si>
  <si>
    <t>lstAthoritySegment</t>
  </si>
  <si>
    <t>lstAthorityType</t>
  </si>
  <si>
    <t>eleAthorityOrganizationlink</t>
  </si>
  <si>
    <t>edtAthorityOrganizationName</t>
  </si>
  <si>
    <t>eleAuthoritySearch</t>
  </si>
  <si>
    <t>eleAuthoritySelect</t>
  </si>
  <si>
    <t>edtPCFirstName</t>
  </si>
  <si>
    <t>edtPCPrefFirstName</t>
  </si>
  <si>
    <t>edtPCLastName</t>
  </si>
  <si>
    <t>edtPCPhoneNumber</t>
  </si>
  <si>
    <t>edtPCEmail</t>
  </si>
  <si>
    <t>edtICFirstName</t>
  </si>
  <si>
    <t>edtICLastName</t>
  </si>
  <si>
    <t>edtICPhoneNumber</t>
  </si>
  <si>
    <t>edtICEmail</t>
  </si>
  <si>
    <t>funAddEffectiveDate</t>
  </si>
  <si>
    <t>eleJurisdictions</t>
  </si>
  <si>
    <t>eleAffinityJurAdd</t>
  </si>
  <si>
    <t>funAddJurisdictions</t>
  </si>
  <si>
    <t>eleAffinityProducts</t>
  </si>
  <si>
    <t>funAffinityProductsSelect</t>
  </si>
  <si>
    <t>eleAffinityProductsRemove</t>
  </si>
  <si>
    <t>bliAffinityProductAdd</t>
  </si>
  <si>
    <t>eleAffinityProducerCode</t>
  </si>
  <si>
    <t>eleAffinityProducerCodeRemove</t>
  </si>
  <si>
    <t>eleAffinityProducerCodeAdd</t>
  </si>
  <si>
    <t>edtAffinityOrganizationName</t>
  </si>
  <si>
    <t>eleAffinityOrgResSearch</t>
  </si>
  <si>
    <t>eleAffinityOrgSearchResults</t>
  </si>
  <si>
    <t>eleAuthorityUpdate</t>
  </si>
  <si>
    <t>Closed</t>
  </si>
  <si>
    <t>The Hartford</t>
  </si>
  <si>
    <t>TestPCFirstName</t>
  </si>
  <si>
    <t>TestPCLastName</t>
  </si>
  <si>
    <t>203-569-8956</t>
  </si>
  <si>
    <t>testPC@thehartford.com</t>
  </si>
  <si>
    <t>TestICFirstName</t>
  </si>
  <si>
    <t>TestICLastName</t>
  </si>
  <si>
    <t>testIC@gmail.com</t>
  </si>
  <si>
    <t>:::AffinityGroupStartDate</t>
  </si>
  <si>
    <t>:::AffinityGroupEndDate</t>
  </si>
  <si>
    <t>&lt;none&gt;:::Connecticut</t>
  </si>
  <si>
    <t>Workers</t>
  </si>
  <si>
    <t>:::EffDateinProducerCodes</t>
  </si>
  <si>
    <t>:::ExpDateinProducerCodes</t>
  </si>
  <si>
    <t>Connecticut:::California</t>
  </si>
  <si>
    <t>Products:::Workers' Compensation</t>
  </si>
  <si>
    <t>Commercial Property</t>
  </si>
  <si>
    <t>ProducerCodes:::46508901</t>
  </si>
  <si>
    <t>test</t>
  </si>
  <si>
    <t>:::clkAffinityGroup_ProducerCodes:funAffinityGroup_ProducerCodes</t>
  </si>
  <si>
    <t>ofuAffinityBasicspage</t>
  </si>
  <si>
    <t>AffinityGroup_CommPgmIden</t>
  </si>
  <si>
    <t>AffinityGroup_RequestDate</t>
  </si>
  <si>
    <t>Date</t>
  </si>
  <si>
    <t>AffinityGroup_RequestedDate</t>
  </si>
  <si>
    <t>AffinityGroup_CPID</t>
  </si>
  <si>
    <t>AffinityGroup_StartDate</t>
  </si>
  <si>
    <t>AffinityGroup_EndDate</t>
  </si>
  <si>
    <t>AffinityGroup_Type</t>
  </si>
  <si>
    <t>AffinityGroup_Organization</t>
  </si>
  <si>
    <t>AffinityGroup_OrganizationName</t>
  </si>
  <si>
    <t>AffinityGroup_Segment</t>
  </si>
  <si>
    <t>AffinityGroup_PCFirstName</t>
  </si>
  <si>
    <t>AffinityGroup_PCLastName</t>
  </si>
  <si>
    <t>AffinityGroup_JurisdictionState</t>
  </si>
  <si>
    <t>AffinityGroup_JurisdictionSt</t>
  </si>
  <si>
    <t>State</t>
  </si>
  <si>
    <t>AffinityGroup_PCPhoneNumber</t>
  </si>
  <si>
    <t>AffinityGroup_PCEmail</t>
  </si>
  <si>
    <t>AffinityGroup_ICFirstName</t>
  </si>
  <si>
    <t>AffinityGroup_ICLastName</t>
  </si>
  <si>
    <t>AffinityGroup_ICPhoneNumber</t>
  </si>
  <si>
    <t>AffinityGroup_ICEmail</t>
  </si>
  <si>
    <t>AffinityGroup_Products</t>
  </si>
  <si>
    <t>AffinityGroup_ProducerCode</t>
  </si>
  <si>
    <t>AffinityGroup_ProdEffDate</t>
  </si>
  <si>
    <t>AffinityGroup_ProdExpDate</t>
  </si>
  <si>
    <t>AffinityGroup_Segment_Code</t>
  </si>
  <si>
    <t>0889</t>
  </si>
  <si>
    <t>TestAutomation_9_Comm</t>
  </si>
  <si>
    <t>TestAutomation_9_Grp</t>
  </si>
  <si>
    <t>Specialty Program</t>
  </si>
  <si>
    <t>SearchAffinityGroup</t>
  </si>
  <si>
    <t>sclAffinityGroupSearchTab</t>
  </si>
  <si>
    <t>eleAffinityGroupSearchTab</t>
  </si>
  <si>
    <t>edtAffinityGrp_CommPgmName</t>
  </si>
  <si>
    <t>eleAffinityGrp_Search</t>
  </si>
  <si>
    <t>eleAffinityGrp_clkSearchResult</t>
  </si>
  <si>
    <t>TC5_all</t>
  </si>
  <si>
    <t>1242,1472,1475,1477,1478,1478,1736,1738,1748,1750,1752,1772,1795</t>
  </si>
  <si>
    <t>1245,1483,1486,1488,1731,1736,1738,1795</t>
  </si>
  <si>
    <t>Captive Services</t>
  </si>
  <si>
    <t>0899</t>
  </si>
  <si>
    <t>0900</t>
  </si>
  <si>
    <t>ofuAccountSummarypage</t>
  </si>
  <si>
    <t>AccountSummary_AccountNumber</t>
  </si>
  <si>
    <t>SampleData001_2</t>
  </si>
  <si>
    <t>eleViewPolicy</t>
  </si>
  <si>
    <t>select a.extrnl_ref As PolicyNumber,a.eff_from_dt,a.eff_to_dt,b.stat from $SchemaName$.commercial_agrmnt a,
$SchemaName$.agrmnt_status b
where a.agree_id = b.agree_id
and a.extrnl_ref = '$PolicyNumber$'
AND B.STAT LIKE '%Bound%'</t>
  </si>
  <si>
    <t>Data</t>
  </si>
  <si>
    <t>PolicyMove</t>
  </si>
  <si>
    <t>CreateAccountPolicyforSrc</t>
  </si>
  <si>
    <t>PolicyMoveSrcAccount</t>
  </si>
  <si>
    <t>SearchAccount</t>
  </si>
  <si>
    <t>46WECAA00QJ</t>
  </si>
  <si>
    <t>eleMergeSearch</t>
  </si>
  <si>
    <t>4845 E BUTLER AVE</t>
  </si>
  <si>
    <t>93727</t>
  </si>
  <si>
    <t>State Act:::1: 4845 E BUTLER AVE, FRESNO, CA:::2710:::1234</t>
  </si>
  <si>
    <t>edtRiskScore</t>
  </si>
  <si>
    <t>25</t>
  </si>
  <si>
    <t>eleLocationOK</t>
  </si>
  <si>
    <t>eleLocationStandardize</t>
  </si>
  <si>
    <t>edtLocationNumberofEmp</t>
  </si>
  <si>
    <t>eleclkSubmissionLocation</t>
  </si>
  <si>
    <t>TC_01_ODS_R2_391_Single_Policy_move</t>
  </si>
  <si>
    <t>AccountSummary_PolicyNumber</t>
  </si>
  <si>
    <t>Account_Eff_Date</t>
  </si>
  <si>
    <t>Policy_Eff_Date</t>
  </si>
  <si>
    <t>Account_ValidFrom_Date</t>
  </si>
  <si>
    <t>Policy_ValidFrom_Date</t>
  </si>
  <si>
    <t>Select distinct ca.extrnl_ref As PolicyNumber,eo.EFF_FROM_DT As Account_Eff_Date,eo.EFF_TO_DT,eo.VALID_FROM_DT As Account_ValidFrom_Date,eo.VALID_TO_DT from $SchemaName$.EXTERNAL_ORGANISATION EO 
join $SchemaName$.ROLE_PLAYER rp on rp.ROLE_PLAY_ID = EO.ROLE_PLAY_ID  
join $SchemaName$.financial_services_role fsr on rp.ROLE_PLAY_ID=fsr.FINCL_SRVC_ROLE_PLAY_ID 
join $SchemaName$.COMMERCIAL_AGRMNT ca on ca.agree_id = FSR.CNTXT_FINCL_SRVC_AGREE_ID
where eo.extrnl_ref='$AccountNumber$' and TO_CHAR(ca.EFF_TO_DT,'MM/DD/YYYY')='12/31/9999'and TO_CHAR(ca.VALID_TO_DT,'MM/DD/YYYY')='12/31/9999' and 
TO_CHAR(fsr.EFF_TO_DT,'MM/DD/YYYY')='12/31/9999' and TO_CHAR(fsr.VALID_TO_DT,'MM/DD/YYYY')='12/31/9999' and 
TO_CHAR(eo.EFF_TO_DT,'MM/DD/YYYY')='12/31/9999'and TO_CHAR(eo.VALID_TO_DT,'MM/DD/YYYY')='12/31/9999'</t>
  </si>
  <si>
    <t>Policy_Number</t>
  </si>
  <si>
    <t>Src_Account_Number</t>
  </si>
  <si>
    <t>select distinct ca.EXTRNL_REF As Policy_Number,rpr.EXTRNL_REF Src_Account_Number,fsr.EFF_FROM_DT As Policy_Eff_Date,fsr.EFF_TO_DT,fsr.VALID_FROM_DT As Policy_ValidFrom_Date,fsr.VALID_TO_DT 
from $SchemaName$.VIRTUAL_PARTY vp 
join $SchemaName$.RL_PLYR_RLSP  rpr on rpr.LEFT_ROLE_PLAY_ID = vp.ROLE_PLAY_ID and vp.TYP_ID = 153 --Software Administration System
join $SchemaName$.FINANCIAL_SERVICES_ROLE fsr on fsr.fincl_srvc_role_play_id=rpr.RIGHT_ROLE_PLAY_ID
join $SchemaName$.COMMERCIAL_AGRMNT ca on ca.agree_id = FSR.CNTXT_FINCL_SRVC_AGREE_ID
where ca.extrnl_ref='$PolicyNumber$' and TO_CHAR(ca.EFF_TO_DT,'MM/DD/YYYY')='12/31/9999' 
and rpr.EXTRNL_REF like '14%'
and TO_CHAR(ca.VALID_TO_DT,'MM/DD/YYYY')='12/31/9999' and TO_CHAR(rpr.EFF_TO_DT,'MM/DD/YYYY')='12/31/9999' 
and TO_CHAR(rpr.VALID_TO_DT,'MM/DD/YYYY')='12/31/9999'and TO_CHAR(fsr.EFF_TO_DT,'MM/DD/YYYY')='12/31/9999' 
and TO_CHAR(fsr.VALID_TO_DT,'MM/DD/YYYY')='12/31/9999'</t>
  </si>
  <si>
    <t>CreateAccountPolicyforSrc_SecondPolicy</t>
  </si>
  <si>
    <t>TestAutomation_16_Comm</t>
  </si>
  <si>
    <t>TestAutomation_16_Grp</t>
  </si>
  <si>
    <t>TestAutomation_16_Comm_upd</t>
  </si>
  <si>
    <t>TestAutomation_16_Grp_upd</t>
  </si>
  <si>
    <t>AccountSummary_PolicyStatus</t>
  </si>
  <si>
    <t>AccountSummary_PolicyType</t>
  </si>
  <si>
    <t>Contacts_Name</t>
  </si>
  <si>
    <t>Contacts_Eff_from_Dt</t>
  </si>
  <si>
    <t>Contacts_Valid_from_Dt</t>
  </si>
  <si>
    <t>Contacts_AddressLine1</t>
  </si>
  <si>
    <t>Contacts_City</t>
  </si>
  <si>
    <t>Address_Eff_from_Dt</t>
  </si>
  <si>
    <t>select distinct EO.EXTRNL_REF As AccountSummary_AccountNumber,ca.EXTRNL_REF As AccountSummary_PolicyNumber,pa.ADDR as Contacts_AddressLine1,pa.LINE_2_ADDR,pa.CITY_NM As Contacts_City,cnp.EFF_FROM_DT As Address_Eff_from_Dt,cnp.EFF_TO_DT,cnp.VALID_FROM_DT As Address_Valid_from_Dt,cnp.VALID_TO_DT 
from $SchemaName$.COMMERCIAL_AGRMNT ca 
join $SchemaName$.AGREEMENT ag on ag.agree_id=ca.agree_id --and ca.TYP_ID=849 
join $SchemaName$.FINANCIAL_SERVICES_ROLE fsr on fsr.CNTXT_FINCL_SRVC_AGREE_ID = AG.AGREE_ID and fsr.TYP_ID = 115
join $SchemaName$.CONTACT_PREFERENCE cnp on cnp.SUBJ_ROLE_PLAY_ID =  fsr.FINCL_SRVC_ROLE_PLAY_ID and cnp.typ_id=186
join $SchemaName$.POSTAL_ADDRESS pa on pa.CNTCT_PNT_ID =cnp.CNTCT_PNT_ID and pa.TYP_ID=116 --Postal Address
join $SchemaName$.EXTERNAL_ORGANISATION eo on EO.ROLE_PLAY_ID= fsr.FINCL_SRVC_ROLE_PLAY_ID
where ca.EXTRNL_REF='$PolicyNumber$' and TO_CHAR(ca.EFF_TO_DT,'MM/DD/YYYY')='12/31/9999' 
and TO_CHAR(ca.VALID_TO_DT,'MM/DD/YYYY')='12/31/9999' and TO_CHAR(fsr.EFF_TO_DT,'MM/DD/YYYY')='12/31/9999' 
and TO_CHAR(fsr.VALID_TO_DT,'MM/DD/YYYY')='12/31/9999' and TO_CHAR(cnp.EFF_TO_DT,'MM/DD/YYYY')='12/31/9999' 
and TO_CHAR(cnp.VALID_TO_DT,'MM/DD/YYYY')='12/31/9999'</t>
  </si>
  <si>
    <t>ManageActivity</t>
  </si>
  <si>
    <t>AccountSummary_ActivityDesc</t>
  </si>
  <si>
    <t>AccountSummary_ActivityStatus</t>
  </si>
  <si>
    <t>AccountNumber_1</t>
  </si>
  <si>
    <t>PolicyNumber_1</t>
  </si>
  <si>
    <t>Activity_Desc</t>
  </si>
  <si>
    <t>Activity_Status</t>
  </si>
  <si>
    <t>Activity_Eff_from_Dt</t>
  </si>
  <si>
    <t>Activity_Valid_from_Dt</t>
  </si>
  <si>
    <t>select distinct cr.TRANS_TYP_CD As AccountSummary_PolicyType,AST.STAT As AccountSummary_PolicyStatus,ca.EXTRNL_REF As Contacts_PolicyNumber,pn.FULL_NM As Contacts_Name, ca.EFF_FROM_DT As Contacts_Eff_from_Dt,ca.EFF_TO_DT,ca.VALID_FROM_DT As Contacts_Valid_from_Dt,ca.VALID_TO_DT  
from $SchemaName$.COMMERCIAL_AGRMNT ca
join $SchemaName$.AGREEMENT ag on ag.AGREE_ID=ca.AGREE_ID   
join $SchemaName$.agrmnt_status ast on CA.AGREE_ID=AST.AGREE_ID
join $SchemaName$.Agrmnt_request_agrmnt_rlsp arar on ca.agree_id = arar.agree_id 
Join $SchemaName$.agrmnt_request AR on ar.agree_rqst_id = arar.agree_rqst_id 
Join $SchemaName$.Change_request cr on cr.agree_rqst_id = ar.agree_rqst_id
join $SchemaName$.FINANCIAL_SERVICES_ROLE fsr on ca.agree_id = FSR.CNTXT_FINCL_SRVC_AGREE_ID --and fsr.TYP_ID=246  --(Main Insured)
join $SchemaName$.RL_PLYR_PARTY_NAME_RLSP rppnr on rppnr.ROLE_PLAY_ID = fsr.ROLE_PLAY_ID and rppnr.NATR_ID=73 --Main Insured full Name
join $SchemaName$.PARTY_NAME pn on rppnr.PRTY_NM_ID = PN.PRTY_NM_ID  and pn.TYP_ID = 97
where ca.extrnl_ref='$PolicyNumber$' and TO_CHAR(ca.EFF_TO_DT,'MM/DD/YYYY')='12/31/9999' 
and TO_CHAR(ca.VALID_TO_DT,'MM/DD/YYYY')='12/31/9999' and TO_CHAR(ast.EFF_TO_DT,'MM/DD/YYYY')='12/31/9999' 
and TO_CHAR(ast.VALID_TO_DT,'MM/DD/YYYY')='12/31/9999' and TO_CHAR(arar.EFF_TO_DT,'MM/DD/YYYY')='12/31/9999' 
and TO_CHAR(arar.VALID_TO_DT,'MM/DD/YYYY')='12/31/9999' and CR.REQUESTED_DT BETWEEN CA.EFF_FROM_DT AND CA.EFF_TO_DT
AND CR.REQUEST_DT BETWEEN CA.VALID_FROM_DT AND CA.VALID_TO_DT AND ARAR.EFF_FROM_DT = CR.REQUESTED_DT
AND ARAR.VALID_FROM_DT = CR.REQUEST_DT AND CA.EFF_FROM_DT = CR.REQUESTED_DT
AND CA.VALID_FROM_DT = CR.REQUEST_DT</t>
  </si>
  <si>
    <t>1222,1319,1439</t>
  </si>
  <si>
    <t>CONTACTS_POLICYNUMBER</t>
  </si>
  <si>
    <t>TC_05_ODS_R2_391_All_Policies_Move_Account_Merge</t>
  </si>
  <si>
    <t>TC12_4</t>
  </si>
  <si>
    <t>CreateAccountPolicyforTgt_TC2</t>
  </si>
  <si>
    <t>select EO.extrnl_ref As AccountNumber_1,ca.extrnl_ref As PolicyNumber_1,T.task_desc As Activity_Desc,
t.CLASS_CD Activity_Type_Code,t.ACTV_TYP_CD Activity_Pattern_Code,t.SYS_STAT_CD As Activity_Status, 
t.START_DT,fsr.EFF_FROM_DT As Activity_Eff_from_Dt, fsr.EFF_TO_DT, fsr.VALID_FROM_DT As Activity_Valid_from_Dt, fsr.VALID_TO_DT 
from $SchemaName$.commercial_agrmnt ca 
join $SchemaName$.agreement ag on ca.agree_id=ag.Agree_id 
join $SchemaName$.FINANCIAL_SERVICES_ROLE fsr on fsr.CNTXT_FINCL_SRVC_AGREE_ID = AG.AGREE_ID
join $SchemaName$.EXTERNAL_ORGANISATION eo on FSR.FINCL_SRVC_ROLE_PLAY_ID= EO.ROLE_PLAY_ID
join $SchemaName$.ACTIVITY_AGRMNT_RLSP aar on aar.agree_id=ag.agree_id
join $SchemaName$.Activity act on act.ACTV_ID = aar.ACTV_ID 
join $SchemaName$.task t on t.ACTV_ID = act.ACTV_ID and act.TYP_ID = 404 --Underwriting*/
where ca.EXTRNL_ref='$PolicyNumber$'
and TO_CHAR(ca.EFF_TO_DT,'MM/DD/YYYY')='12/31/9999' 
and TO_CHAR(ca.VALID_TO_DT,'MM/DD/YYYY')='12/31/9999' and TO_CHAR(aar.EFF_TO_DT,'MM/DD/YYYY')='12/31/9999' 
and TO_CHAR(aar.VALID_TO_DT,'MM/DD/YYYY')='12/31/9999' and TO_CHAR(ca.EFF_TO_DT,'MM/DD/YYYY')='12/31/9999' 
and TO_CHAR(t.VALID_TO_DT,'MM/DD/YYYY')='12/31/9999' and TO_CHAR(t.EFF_TO_DT,'MM/DD/YYYY')='12/31/9999' 
and TO_CHAR(t.VALID_TO_DT,'MM/DD/YYYY')='12/31/9999' and TO_CHAR(fsr.EFF_TO_DT,'MM/DD/YYYY')='12/31/9999' 
and TO_CHAR(fsr.VALID_TO_DT,'MM/DD/YYYY')='12/31/9999'</t>
  </si>
  <si>
    <t>eleRemainderXSellFollowUp</t>
  </si>
  <si>
    <t>TC_07_ODS_R2_391_Policy_move_Activity_update_validation</t>
  </si>
  <si>
    <t>select EO.EXTRNL_REf As AccountSummary_AccountNumber,ca.POL_TERM_EXTRNL_ID public_Key,T.task_desc As AccountSummary_ActivityDesc,
t.CLASS_CD Activity_Type_Code,t.SYS_STAT_CD As AccountSummary_ActivityStatus, 
fsr.EFF_FROM_DT As Account_Eff_Date, fsr.EFF_TO_DT, fsr.VALID_FROM_DT As Account_ValidFrom_Date, fsr.VALID_TO_DT 
from $SchemaName$.commercial_agrmnt ca 
join $SchemaName$.agreement ag on ca.agree_id=ag.Agree_id 
join $SchemaName$.financial_services_role fsr on ca.agree_id = FSR.CNTXT_FINCL_SRVC_AGREE_ID
join $SchemaName$.EXTERNAL_ORGANISATION EO on FSR.FINCL_SRVC_ROLE_PLAY_ID = EO.ROLE_PLAY_ID  
join $SchemaName$.ACTIVITY_AGRMNT_RLSP aar on aar.agree_id=ag.agree_id
join $SchemaName$.Activity act on act.ACTV_ID = aar.ACTV_ID --and aar.NATR_ID = 207 --Underwriting Workers Compensation Policy
join $SchemaName$.task t on t.ACTV_ID = act.ACTV_ID and act.TYP_ID = 404 --Underwriting*/
where EO.EXTRNL_REf='$AccountNumber$'
and TO_CHAR(ca.EFF_TO_DT,'MM/DD/YYYY')='12/31/9999' 
and TO_CHAR(ca.VALID_TO_DT,'MM/DD/YYYY')='12/31/9999' and TO_CHAR(aar.EFF_TO_DT,'MM/DD/YYYY')='12/31/9999' 
and TO_CHAR(aar.VALID_TO_DT,'MM/DD/YYYY')='12/31/9999' and TO_CHAR(ca.EFF_TO_DT,'MM/DD/YYYY')='12/31/9999' 
and TO_CHAR(t.VALID_TO_DT,'MM/DD/YYYY')='12/31/9999' and TO_CHAR(t.EFF_TO_DT,'MM/DD/YYYY')='12/31/9999' 
and TO_CHAR(t.VALID_TO_DT,'MM/DD/YYYY')='12/31/9999' and TO_CHAR(fsr.EFF_TO_DT,'MM/DD/YYYY')='12/31/9999' 
and TO_CHAR(fsr.VALID_TO_DT,'MM/DD/YYYY')='12/31/9999'</t>
  </si>
  <si>
    <t>PolicyMoveTgtAccount2</t>
  </si>
  <si>
    <t>1007-Affinity Group</t>
  </si>
  <si>
    <t>391-PM</t>
  </si>
  <si>
    <t>Select distinct ca.extrnl_ref As PolicyNumber,eo.EFF_FROM_DT As Account_Eff_Date,eo.EFF_TO_DT,eo.VALID_FROM_DT As Account_ValidFrom_Date,eo.VALID_TO_DT 
from $SchemaName$.EXTERNAL_ORGANISATION EO 
join $SchemaName$.ROLE_PLAYER rp on rp.ROLE_PLAY_ID = EO.ROLE_PLAY_ID  
join $SchemaName$.financial_services_role fsr on rp.ROLE_PLAY_ID=fsr.FINCL_SRVC_ROLE_PLAY_ID 
join $SchemaName$.COMMERCIAL_AGRMNT ca on ca.agree_id = FSR.CNTXT_FINCL_SRVC_AGREE_ID
where eo.extrnl_ref='$AccountNumber$' and ca.extrnl_ref is not null and TO_CHAR(ca.EFF_TO_DT,'MM/DD/YYYY')='12/31/9999'and TO_CHAR(ca.VALID_TO_DT,'MM/DD/YYYY')='12/31/9999' and 
TO_CHAR(fsr.EFF_TO_DT,'MM/DD/YYYY')='12/31/9999' and TO_CHAR(fsr.VALID_TO_DT,'MM/DD/YYYY')='12/31/9999' and 
TO_CHAR(eo.EFF_TO_DT,'MM/DD/YYYY')='12/31/9999'and TO_CHAR(eo.VALID_TO_DT,'MM/DD/YYYY')='12/31/9999'</t>
  </si>
  <si>
    <t>TC_02_ODS_R2_302_Creation of New Activity (New Mail)</t>
  </si>
  <si>
    <t>302-MA</t>
  </si>
  <si>
    <t>funSelectActivity</t>
  </si>
  <si>
    <t>select t.task_desc As AccountSummary_ActivityDesc,rpr.EXTRNL_REF As AccountSummary_AccountNumber 
from $SchemaName$.virtual_party vp 
join $SchemaName$.RL_PLYR_RLSP rpr on rpr.LEFT_ROLE_PLAY_ID =vp.ROLE_PLAY_ID and rpr.Natr_id=37
join $SchemaName$.RL_PLYER_ACTIVITY_RLSP rpar on rpar.ROLE_PLAY_ID =rpr.RIGHT_ROLE_PLAY_ID  
join $SchemaName$.task t on t.actv_id=rpar.actv_id and t.TYP_ID = 404 and rpar.NATR_ID = 226--Account Underwriting
where rpr.EXTRNL_REF='$AccountNumber$' and TO_CHAR(rpar.EFF_TO_DT,'MM/DD/YYYY')='12/31/9999' 
and TO_CHAR(rpar.VALID_TO_DT,'MM/DD/YYYY')='12/31/9999'</t>
  </si>
  <si>
    <t>1209,1207</t>
  </si>
  <si>
    <t>TC_03_ODS_R2_302_Creation of New Activity (Remainder)</t>
  </si>
  <si>
    <t>CreateActivityinPolicy</t>
  </si>
  <si>
    <t>CLAPolicyInfo</t>
  </si>
  <si>
    <t>eleNewShellActivity</t>
  </si>
  <si>
    <t>PolicySummary_ActivityDesc</t>
  </si>
  <si>
    <t>PolicySummary_ActivityStatus</t>
  </si>
  <si>
    <t>Activity_Start_Date</t>
  </si>
  <si>
    <t>Policy_Valid_From_Date</t>
  </si>
  <si>
    <t>PolicySummary_ShellPolicyNumber</t>
  </si>
  <si>
    <t>PolicySummary_ShPolicyNum</t>
  </si>
  <si>
    <t>select ca.extrnl_ref As PolicySummary_ShPolicyNum,T.task_desc As PolicySummary_ActivityDesc,
t.CLASS_CD Activity_Type_Code,t.ACTV_TYP_CD Activity_Pattern_Code,t.SYS_STAT_CD As PolicySummary_ActivityStatus, 
t.START_DT As Activity_Start_Date,t.EFF_FROM_DT As Policy_Eff_Date, t.EFF_TO_DT, t.VALID_FROM_DT As Policy_Valid_From_Date, t.VALID_TO_DT 
from $SchemaName$.commercial_agrmnt ca 
join $SchemaName$.agreement ag on ca.agree_id=ag.Agree_id 
join $SchemaName$.ACTIVITY_AGRMNT_RLSP aar on aar.agree_id=ag.agree_id
join $SchemaName$.Activity act on act.ACTV_ID = aar.ACTV_ID 
join $SchemaName$.task t on t.ACTV_ID = act.ACTV_ID and act.TYP_ID = 404 --Underwriting*/
where ca.extrnl_ref='$PolicyNumber$' 
and TO_CHAR(ca.EFF_TO_DT,'MM/DD/YYYY')='12/31/9999' 
and TO_CHAR(ca.VALID_TO_DT,'MM/DD/YYYY')='12/31/9999' and TO_CHAR(aar.EFF_TO_DT,'MM/DD/YYYY')='12/31/9999' 
and TO_CHAR(aar.VALID_TO_DT,'MM/DD/YYYY')='12/31/9999' and TO_CHAR(ca.EFF_TO_DT,'MM/DD/YYYY')='12/31/9999' 
and TO_CHAR(t.VALID_TO_DT,'MM/DD/YYYY')='12/31/9999' and TO_CHAR(t.EFF_TO_DT,'MM/DD/YYYY')='12/31/9999' 
and TO_CHAR(t.VALID_TO_DT,'MM/DD/YYYY')='12/31/9999'</t>
  </si>
  <si>
    <t>CreateActivityinPolicy_Request</t>
  </si>
  <si>
    <t>Request</t>
  </si>
  <si>
    <t>ID Cards</t>
  </si>
  <si>
    <t>TC_05_ODS_R2_302_Creation of New Activity_under_non_Issued_policy</t>
  </si>
  <si>
    <t>Underwriter Review</t>
  </si>
  <si>
    <t>CreateActivityinPolicy_UW</t>
  </si>
  <si>
    <t>1001 Health Sciences Rd</t>
  </si>
  <si>
    <t>92617</t>
  </si>
  <si>
    <t>Commercial Property:::Shell</t>
  </si>
  <si>
    <t>AccountSummary_PolicySystem</t>
  </si>
  <si>
    <t>select ca.extrnl_ref As PolicySummary_ShPolicyNum1, ca.POL_TERM_EXTRNL_ID as PolicyTermEXTID,ca.POL_PER_EXTRNL_ID_SRCE_SYS_NM as PolicyperiodextIDSSN,
ca.POL_TERM_EXTRNL_ID_SRCE_SYS_NM as AccountSummary_PolicySystem
from $SchemaName$.COMMERCIAL_AGRMNT ca 
join $SchemaName$.ACTIVITY_AGRMNT_RLSP aar on aar.agree_id=ca.agree_id 
join $SchemaName$.TASK t on t.actv_id=aar.actv_id and t.TYP_ID=404
where ca.extrnl_ref= '$PolicyNumber$' 
and aar.NATR_ID='566'</t>
  </si>
  <si>
    <t>PolicySummary_ShPolicyNum1</t>
  </si>
  <si>
    <t>TC_06_ODS_R2_302_Creation of Activity_Through_Activity Pattern</t>
  </si>
  <si>
    <t>Automation_Activity</t>
  </si>
  <si>
    <t>edtAP_Description</t>
  </si>
  <si>
    <t>Automation_ActivityDesc</t>
  </si>
  <si>
    <t>edtAP_EscalationDays</t>
  </si>
  <si>
    <t>edtAP_TargetDays</t>
  </si>
  <si>
    <t>lstAP_escalationStartpt</t>
  </si>
  <si>
    <t>lstAP_TargetStartpt</t>
  </si>
  <si>
    <t>lstAP_EsacalationIncDays</t>
  </si>
  <si>
    <t>Business days</t>
  </si>
  <si>
    <t>lstAP_TargetIncDays</t>
  </si>
  <si>
    <t>ActivityPattern</t>
  </si>
  <si>
    <t>Activity creation date</t>
  </si>
  <si>
    <t>automation_activityCode</t>
  </si>
  <si>
    <t>CreateActivityinPolicy_AP</t>
  </si>
  <si>
    <t>Commercial Program Small</t>
  </si>
  <si>
    <t>55455</t>
  </si>
  <si>
    <t>420 Delaware St SE</t>
  </si>
  <si>
    <t>MINNEAPOLIS</t>
  </si>
  <si>
    <t>Minnesota</t>
  </si>
  <si>
    <t>edtAP_EscalationHours</t>
  </si>
  <si>
    <t>edtAP_TargetHours</t>
  </si>
  <si>
    <t>ofuActivityPatternpage</t>
  </si>
  <si>
    <t>eleBusinessSettings</t>
  </si>
  <si>
    <t>AP_Code</t>
  </si>
  <si>
    <t>AP_SegmentCode</t>
  </si>
  <si>
    <t>AP_Pattern</t>
  </si>
  <si>
    <t>SELECTINGTHEACTIVITYTODELETE:::SELECTACTIVITYPATTERNTODELETE:::Automation_Activity</t>
  </si>
  <si>
    <t>AccountSummary_PolicyJobNumber</t>
  </si>
  <si>
    <t>PolicySummary_ShPolicyNum2</t>
  </si>
  <si>
    <t>1208,2025</t>
  </si>
  <si>
    <t>Segment</t>
  </si>
  <si>
    <t>AP_EscalationDays</t>
  </si>
  <si>
    <t>AP_EscalationHours</t>
  </si>
  <si>
    <t>AP_EscalationStartDate</t>
  </si>
  <si>
    <t>PolicySummary_ShPolicyNum3</t>
  </si>
  <si>
    <t>SpaceContains</t>
  </si>
  <si>
    <t>AP_EscalationIncludeDays</t>
  </si>
  <si>
    <t>AP_TargetDays</t>
  </si>
  <si>
    <t>AP_TargetHours</t>
  </si>
  <si>
    <t>AP_TargetIncludedays</t>
  </si>
  <si>
    <t>AP_TargetStartpoint</t>
  </si>
  <si>
    <t>AP_BusinessSegment</t>
  </si>
  <si>
    <t>AP_SkillLevel</t>
  </si>
  <si>
    <t>AP_Track</t>
  </si>
  <si>
    <t>AP_ActiveClass</t>
  </si>
  <si>
    <t xml:space="preserve">Commercial Program Small:::Payroll Billing :::Track 1 </t>
  </si>
  <si>
    <t>Activity_EsacaltionDate</t>
  </si>
  <si>
    <t>AP_AutomatedOnly</t>
  </si>
  <si>
    <t>AP_Mandatory</t>
  </si>
  <si>
    <t>select distinct ca.EXTRNL_REF As PolicySummary_ShPolicyNum1,t.ACTV_TYP_CD as AP_Code, t.MKT_SEG_CD as AP_SegmentCode, T.LVL_CD as AP_Pattern,t.EFF_FROM_DT, t.EFF_TO_DT, t.VALID_FROM_DT, t.VALID_TO_DT ,T.ESCLT_IND As AP_AutomatedOnly,T.ESCLT_DT As Activity_EsacaltionDate,T.MANDTRY_COMPL_IND As AP_Mandatory
from $SchemaName$.COMMERCIAL_AGRMNT ca 
join $SchemaName$.FINANCIAL_SERVICES_ROLE fsr on ca.agree_id = FSR.CNTXT_FINCL_SRVC_AGREE_ID 
join $SchemaName$.RL_PLYR_RLSP  rpr on fsr.fincl_srvc_role_play_id=rpr.RIGHT_ROLE_PLAY_ID  
join $SchemaName$.VIRTUAL_PARTY vp on rpr.LEFT_ROLE_PLAY_ID = vp.ROLE_PLAY_ID and vp.TYP_ID = 153
join $SchemaName$.AGREEMENT ag on ag.AGREE_ID=ca.AGREE_ID and ca.TYP_ID = 849--Commercial Shell
join $SchemaName$.ACTIVITY_AGRMNT_RLSP aar on aar.agree_id=ag.agree_id and aar.NATR_ID=566 --Underwriting Commercial Policy
join $SchemaName$.ACTIVITY act on act.ACTV_ID = aar.ACTV_ID and act.TYP_ID = 404 --Underwriting
join $SchemaName$.TASK t on t.ACTV_ID = act.ACTV_ID and t.TYP_ID = 404 --Underwriting
where  ca.extrnl_ref='$PolicyNumber$'  
and TO_CHAR(ca.VALID_TO_DT,'MM/DD/YYYY')='12/31/9999' and TO_CHAR(aar.EFF_TO_DT,'MM/DD/YYYY')='12/31/9999' 
and TO_CHAR(aar.VALID_TO_DT,'MM/DD/YYYY')='12/31/9999' and TO_CHAR(t.EFF_TO_DT,'MM/DD/YYYY')='12/31/9999' 
and TO_CHAR(t.VALID_TO_DT,'MM/DD/YYYY')='12/31/9999'  and TO_CHAR(fsr.EFF_TO_DT,'MM/DD/YYYY')='12/31/9999' 
and TO_CHAR(fsr.VALID_TO_DT,'MM/DD/YYYY')='12/31/9999' and TO_CHAR(vp.EFF_TO_DT,'MM/DD/YYYY')='12/31/9999' 
and TO_CHAR(vp.VALID_TO_DT,'MM/DD/YYYY')='12/31/9999'</t>
  </si>
  <si>
    <t>select ca.extrnl_ref As PolicySummary_ShPolicyNum2,cr.EXTRNL_REF as AccountSummary_PolicyJobNumber , cr.TRANS_TYP_CD as AccountSummary_PolicyStatus, ca.EFF_FROM_DT, ca.EFF_TO_DT,ca.VALID_FROM_DT, 
ca.VALID_TO_DT  
from $SchemaName$.COMMERCIAL_AGRMNT ca 
join $SchemaName$.AGRMNT_REQUEST_AGRMNT_RLSP arar ON ca.agree_id=arar.AGREE_ID and arar.NATR_ID = 206 -- Establish Policy Underwriting Task
join $SchemaName$.AGRMNT_REQUEST ar ON arar.AGREE_RQST_ID=ar.AGREE_RQST_ID and ar.TYP_ID = 403 -- Establish Underwriting Task
join $SchemaName$.CHANGE_REQUEST cr On ar.AGREE_RQST_ID=cr.AGREE_RQST_ID --and cr.TYP_ID = 206 -- Establish Policy Underwriting Task
where ca.extrnl_ref = '$PolicyNumber$'
and TO_CHAR(ca.EFF_TO_DT,'MM/DD/YYYY')='12/31/9999' 
and TO_CHAR(ca.VALID_TO_DT,'MM/DD/YYYY')='12/31/9999' and TO_CHAR(arar.EFF_TO_DT,'MM/DD/YYYY')='12/31/9999' 
and TO_CHAR(arar.VALID_TO_DT,'MM/DD/YYYY')='12/31/9999'</t>
  </si>
  <si>
    <t>select distinct ca.EXTRNL_REF As PolicySummary_ShPolicyNum3,t.ACTV_PTRN_ESDT_DAY_NUM as AP_EscalationDays, 
t.ACTV_PTRN_ESDT_HR_NUM as AP_EscalationHours , t.ESDT_START_PNT_DT_CD as AP_EscalationStartDate , t.ESDT_INCL_DAY_CD as AP_EscalationIncludeDays,
t.TRGT_COMPL_DAY_NUM As AP_TargetDays,T.TRGT_COMPL_HR_NUM As AP_TargetHours,
T.TRGT_COMPL_INCL_DAY_CD As AP_TargetIncludedays,T.TRGT_COMPL_START_PNT_CD As AP_TargetStartpoint,
t.EFF_FROM_DT, t.EFF_TO_DT, t.VALID_FROM_DT, t.VALID_TO_DT 
from $SchemaName$.COMMERCIAL_AGRMNT ca 
join $SchemaName$.FINANCIAL_SERVICES_ROLE fsr on ca.agree_id = FSR.CNTXT_FINCL_SRVC_AGREE_ID 
join $SchemaName$.RL_PLYR_RLSP  rpr on fsr.fincl_srvc_role_play_id=rpr.RIGHT_ROLE_PLAY_ID  
join $SchemaName$.VIRTUAL_PARTY vp on rpr.LEFT_ROLE_PLAY_ID = vp.ROLE_PLAY_ID and vp.TYP_ID = 153 --Software Administration System
join $SchemaName$.AGREEMENT ag on ag.AGREE_ID=ca.AGREE_ID and ca.TYP_ID = 849--Commercial Shell
join $SchemaName$.ACTIVITY_AGRMNT_RLSP aar on aar.agree_id=ag.agree_id and aar.NATR_ID=566 --Underwriting Commercial Policy
join $SchemaName$.ACTIVITY act on act.ACTV_ID = aar.ACTV_ID and act.TYP_ID = 404 --Underwriting
join $SchemaName$.TASK t on t.ACTV_ID = act.ACTV_ID and t.TYP_ID = 404 --Underwriting
where  ca.extrnl_ref='$PolicyNumber$'
and TO_CHAR(ca.VALID_TO_DT,'MM/DD/YYYY')='12/31/9999' and TO_CHAR(aar.EFF_TO_DT,'MM/DD/YYYY')='12/31/9999' 
and TO_CHAR(aar.VALID_TO_DT,'MM/DD/YYYY')='12/31/9999' and TO_CHAR(t.EFF_TO_DT,'MM/DD/YYYY')='12/31/9999' 
and TO_CHAR(t.VALID_TO_DT,'MM/DD/YYYY')='12/31/9999' and TO_CHAR(fsr.EFF_TO_DT,'MM/DD/YYYY')='12/31/9999' 
and TO_CHAR(fsr.VALID_TO_DT,'MM/DD/YYYY')='12/31/9999' and TO_CHAR(vp.EFF_TO_DT,'MM/DD/YYYY')='12/31/9999' 
and TO_CHAR(vp.VALID_TO_DT,'MM/DD/YYYY')='12/31/9999'</t>
  </si>
  <si>
    <t>AP_Type</t>
  </si>
  <si>
    <t>AP_Category</t>
  </si>
  <si>
    <t>select distinct ca.EXTRNL_REF As PolicySummary_ShPolicyNum1,t.ACTV_TYP_CD as AP_Code, t.MKT_SEG_CD as AP_SegmentCode, T.LVL_CD as AP_Pattern,t.EFF_FROM_DT, t.EFF_TO_DT, t.VALID_FROM_DT, t.VALID_TO_DT ,T.ESCLT_IND As AP_AutomatedOnly,T.ESCLT_DT As Activity_EsacaltionDate,T.MANDTRY_COMPL_IND As AP_Mandatory,t.CLASS_CD as AP_Type,t.CLASS_CD as AP_Category
from $SchemaName$.COMMERCIAL_AGRMNT ca 
join $SchemaName$.FINANCIAL_SERVICES_ROLE fsr on ca.agree_id = FSR.CNTXT_FINCL_SRVC_AGREE_ID 
join $SchemaName$.RL_PLYR_RLSP  rpr on fsr.fincl_srvc_role_play_id=rpr.RIGHT_ROLE_PLAY_ID  
join $SchemaName$.VIRTUAL_PARTY vp on rpr.LEFT_ROLE_PLAY_ID = vp.ROLE_PLAY_ID and vp.TYP_ID = 153
join $SchemaName$.AGREEMENT ag on ag.AGREE_ID=ca.AGREE_ID and ca.TYP_ID = 849--Commercial Shell
join $SchemaName$.ACTIVITY_AGRMNT_RLSP aar on aar.agree_id=ag.agree_id and aar.NATR_ID=566 --Underwriting Commercial Policy
join $SchemaName$.ACTIVITY act on act.ACTV_ID = aar.ACTV_ID and act.TYP_ID = 404 --Underwriting
join $SchemaName$.TASK t on t.ACTV_ID = act.ACTV_ID and t.TYP_ID = 404 --Underwriting
where  ca.extrnl_ref='$PolicyNumber$'  
and TO_CHAR(ca.VALID_TO_DT,'MM/DD/YYYY')='12/31/9999' and TO_CHAR(aar.EFF_TO_DT,'MM/DD/YYYY')='12/31/9999' 
and TO_CHAR(aar.VALID_TO_DT,'MM/DD/YYYY')='12/31/9999' and TO_CHAR(t.EFF_TO_DT,'MM/DD/YYYY')='12/31/9999' 
and TO_CHAR(t.VALID_TO_DT,'MM/DD/YYYY')='12/31/9999'  and TO_CHAR(fsr.EFF_TO_DT,'MM/DD/YYYY')='12/31/9999' 
and TO_CHAR(fsr.VALID_TO_DT,'MM/DD/YYYY')='12/31/9999' and TO_CHAR(vp.EFF_TO_DT,'MM/DD/YYYY')='12/31/9999' 
and TO_CHAR(vp.VALID_TO_DT,'MM/DD/YYYY')='12/31/9999'</t>
  </si>
  <si>
    <t>AP_Priority</t>
  </si>
  <si>
    <t>AP_Recurring</t>
  </si>
  <si>
    <t>AP_Subject</t>
  </si>
  <si>
    <t>AP_OverDue</t>
  </si>
  <si>
    <t>select distinct ca.EXTRNL_REF As PolicySummary_ShPolicyNum1,t.ACTV_TYP_CD as AP_Code, t.MKT_SEG_CD as AP_SegmentCode, T.LVL_CD as AP_Pattern,t.EFF_FROM_DT, t.EFF_TO_DT, t.VALID_FROM_DT, t.VALID_TO_DT ,T.ESCLT_IND As AP_AutomatedOnly,T.ESCLT_DT As Activity_EsacaltionDate,T.MANDTRY_COMPL_IND As AP_Mandatory,t.CLASS_CD as AP_Type,t.CLASS_CD as AP_Category,
t.OVER_DUE_IND As AP_OverDue,t.PRIRTY_LVL_CD As AP_Priority,t.RECUR_IND As AP_Recurring,t.SUBJ_DESC As AP_Subject
from $SchemaName$.COMMERCIAL_AGRMNT ca 
join $SchemaName$.FINANCIAL_SERVICES_ROLE fsr on ca.agree_id = FSR.CNTXT_FINCL_SRVC_AGREE_ID 
join $SchemaName$.RL_PLYR_RLSP  rpr on fsr.fincl_srvc_role_play_id=rpr.RIGHT_ROLE_PLAY_ID  
join $SchemaName$.VIRTUAL_PARTY vp on rpr.LEFT_ROLE_PLAY_ID = vp.ROLE_PLAY_ID and vp.TYP_ID = 153
join $SchemaName$.AGREEMENT ag on ag.AGREE_ID=ca.AGREE_ID and ca.TYP_ID = 849--Commercial Shell
join $SchemaName$.ACTIVITY_AGRMNT_RLSP aar on aar.agree_id=ag.agree_id and aar.NATR_ID=566 --Underwriting Commercial Policy
join $SchemaName$.ACTIVITY act on act.ACTV_ID = aar.ACTV_ID and act.TYP_ID = 404 --Underwriting
join $SchemaName$.TASK t on t.ACTV_ID = act.ACTV_ID and t.TYP_ID = 404 --Underwriting
where  ca.extrnl_ref='$PolicyNumber$'  
and TO_CHAR(ca.VALID_TO_DT,'MM/DD/YYYY')='12/31/9999' and TO_CHAR(aar.EFF_TO_DT,'MM/DD/YYYY')='12/31/9999' 
and TO_CHAR(aar.VALID_TO_DT,'MM/DD/YYYY')='12/31/9999' and TO_CHAR(t.EFF_TO_DT,'MM/DD/YYYY')='12/31/9999' 
and TO_CHAR(t.VALID_TO_DT,'MM/DD/YYYY')='12/31/9999'  and TO_CHAR(fsr.EFF_TO_DT,'MM/DD/YYYY')='12/31/9999' 
and TO_CHAR(fsr.VALID_TO_DT,'MM/DD/YYYY')='12/31/9999' and TO_CHAR(vp.EFF_TO_DT,'MM/DD/YYYY')='12/31/9999' 
and TO_CHAR(vp.VALID_TO_DT,'MM/DD/YYYY')='12/31/9999'</t>
  </si>
  <si>
    <t>1453,1985,2026,2027,2028,2035,2044,2045,2048,2046,2049</t>
  </si>
  <si>
    <t>TC_10_280_Create New Account  with Company , Person Contact Type</t>
  </si>
  <si>
    <t>280-AC</t>
  </si>
  <si>
    <t>CreateAccountTest</t>
  </si>
  <si>
    <t>370 W 9TH AVE</t>
  </si>
  <si>
    <t>COLUMBUS</t>
  </si>
  <si>
    <t>Ohio</t>
  </si>
  <si>
    <t>43210-1238</t>
  </si>
  <si>
    <t>eleSameAddressAs</t>
  </si>
  <si>
    <t>eleAccountHolder</t>
  </si>
  <si>
    <t>Contact</t>
  </si>
  <si>
    <t>funContactType</t>
  </si>
  <si>
    <t>Alternate Payer</t>
  </si>
  <si>
    <t>New Person</t>
  </si>
  <si>
    <t>Named Insured</t>
  </si>
  <si>
    <t>New Company</t>
  </si>
  <si>
    <t>23569</t>
  </si>
  <si>
    <t>edtAcount_OfficePhone</t>
  </si>
  <si>
    <t>edtAccount_Fax</t>
  </si>
  <si>
    <t>edtAccount_PrimaryMail</t>
  </si>
  <si>
    <t>edtAccount_SecondaryMail</t>
  </si>
  <si>
    <t>edtAccount_Website</t>
  </si>
  <si>
    <t>569-568-2356</t>
  </si>
  <si>
    <t>896-569-7845</t>
  </si>
  <si>
    <t>test1@thehartford.com</t>
  </si>
  <si>
    <t>test2@thehartford.com</t>
  </si>
  <si>
    <t>testweb@thehartford.com</t>
  </si>
  <si>
    <t>eleAccount_PrimaryMail</t>
  </si>
  <si>
    <t>TC_11_280_Edit Contact Details</t>
  </si>
  <si>
    <t>AccountContact</t>
  </si>
  <si>
    <t>Account_AIFNum</t>
  </si>
  <si>
    <t>Account_AllianceNum</t>
  </si>
  <si>
    <t>Account_FEIN</t>
  </si>
  <si>
    <t>Acount_OfficePhone</t>
  </si>
  <si>
    <t>Account_Fax</t>
  </si>
  <si>
    <t>Account_SecondaryMail</t>
  </si>
  <si>
    <t>Account_PrimaryMail</t>
  </si>
  <si>
    <t>Account_AccountName</t>
  </si>
  <si>
    <t>Account_Website</t>
  </si>
  <si>
    <t>Account_Country</t>
  </si>
  <si>
    <t>Account_Address1</t>
  </si>
  <si>
    <t>Account_City</t>
  </si>
  <si>
    <t>Account_County</t>
  </si>
  <si>
    <t>Account_State</t>
  </si>
  <si>
    <t>Account_ZipCode</t>
  </si>
  <si>
    <t>Account_OrganizationType</t>
  </si>
  <si>
    <t>Account_AddressType</t>
  </si>
  <si>
    <t>Account_Number</t>
  </si>
  <si>
    <t>Account_Name</t>
  </si>
  <si>
    <t>Account_Request_Date</t>
  </si>
  <si>
    <t>Account_Requested_Date</t>
  </si>
  <si>
    <t>Account_Verification_Date</t>
  </si>
  <si>
    <t>select EO.EXTRNL_REF as Enterprise_Acc_ID, t.PERF_DT as Account_Verification_Date,t.EFF_FROM_DT,t.EFF_TO_DT,t.VALID_FROM_DT,t.VALID_TO_DT
from $SchemaName$.EXTERNAL_ORGANISATION EO 
join $SchemaName$.RL_PLYER_ACTIVITY_RLSP rpar on rpar.ROLE_PLAY_ID= eo.ROLE_PLAY_ID and rpar.NATR_ID = 35
join $SchemaName$.TASK T on t.ACTV_ID = rpar.ACTV_ID and  T.TYP_ID = 76--Information Verification
where eo.extrnl_ref='$AccountNumber$' and 
TO_CHAR(rpar.EFF_TO_DT,'MM/DD/YYYY')='12/31/9999' and TO_CHAR(rpar.VALID_TO_DT,'MM/DD/YYYY')='12/31/9999' and 
TO_CHAR(eo.EFF_TO_DT,'MM/DD/YYYY')='12/31/9999' and TO_CHAR(eo.VALID_TO_DT,'MM/DD/YYYY')='12/31/9999'and 
TO_CHAR(t.EFF_TO_DT,'MM/DD/YYYY')='12/31/9999' and TO_CHAR(t.VALID_TO_DT,'MM/DD/YYYY')='12/31/9999'</t>
  </si>
  <si>
    <t>Original_Account_Creation_Date</t>
  </si>
  <si>
    <t>select EO.EXTRNL_REF as Enterprise_Acc_ID, pn.FULL_NM as Account_Name,rppnr.EFF_FROM_DT,rppnr.EFF_TO_DT,rppnr.VALID_FROM_DT,rppnr.VALID_TO_DT
from $SchemaName$.EXTERNAL_ORGANISATION EO 
join $SchemaName$.RL_PLYR_PARTY_NAME_RLSP rppnr on rppnr.ROLE_PLAY_ID= eo.ROLE_PLAY_ID and rppnr.NATR_ID = 2
join $SchemaName$.PARTY_NAME PN on PN.PRTY_NM_ID =rppnr.PRTY_NM_ID and PN.TYP_ID = 97 --Full Name
where eo.extrnl_ref='$AccountNumber$' and 
TO_CHAR(rppnr.EFF_TO_DT,'MM/DD/YYYY')='12/31/9999' and TO_CHAR(rppnr.VALID_TO_DT,'MM/DD/YYYY')='12/31/9999' and 
TO_CHAR(eo.EFF_TO_DT,'MM/DD/YYYY')='12/31/9999' and TO_CHAR(eo.VALID_TO_DT,'MM/DD/YYYY')='12/31/9999'</t>
  </si>
  <si>
    <t>Select EO.VALID_FROM_DT As Account_Request_Date,EO.EFF_FROM_DT As Account_Requested_Date,EO.EXTRNL_REF As Account_Number,EO.CRT_DT As Original_Account_Creation_Date,EO.ALLI_NUM as Alliance_Number
from $SchemaName$.EXTERNAL_ORGANISATION EO 
where EO.EXTRNL_REF='$AccountNumber$' 
and TO_CHAR(eo.EFF_TO_DT,'MM/DD/YYYY')='12/31/9999' and TO_CHAR(eo.VALID_TO_DT,'MM/DD/YYYY')='12/31/9999'</t>
  </si>
  <si>
    <t>Alliance_Number</t>
  </si>
  <si>
    <t>Account_Legal_Entity_Type_Code</t>
  </si>
  <si>
    <t>Account_ExperianKey</t>
  </si>
  <si>
    <t>AccountSummary_System</t>
  </si>
  <si>
    <t>select EO.EXTRNL_REF as Enterprise_Acc_ID, otr.EXTRNL_REF as Experian_Key_Identifier,rprr.EFF_FROM_DT,rprr.EFF_TO_DT,rprr.VALID_FROM_DT,rprr.VALID_TO_DT
from $SchemaName$.EXTERNAL_ORGANISATION EO 
join $SchemaName$.RL_PLYR_REGISTRATION_RLSP rprr on rprr.ROLE_PLAY_ID= eo.ROLE_PLAY_ID and rprr.NATR_ID = 33
join $SchemaName$.OTHER_REGISTRATION otr on otr.REG_ID=rprr.REG_ID and otr.TYP_ID = 62 
where eo.extrnl_ref='$AccountNumber$' and 
TO_CHAR(rprr.EFF_TO_DT,'MM/DD/YYYY')='12/31/9999' and TO_CHAR(rprr.VALID_TO_DT,'MM/DD/YYYY')='12/31/9999' and 
TO_CHAR(eo.EFF_TO_DT,'MM/DD/YYYY')='12/31/9999' and TO_CHAR(eo.VALID_TO_DT,'MM/DD/YYYY')='12/31/9999'</t>
  </si>
  <si>
    <t>Experian_Key_Identifier</t>
  </si>
  <si>
    <t>Account_Identifier</t>
  </si>
  <si>
    <t>select EO.EXTRNL_REF as Enterprise_Acc_ID, vp.EXTRNL_REF as AccountSSN,rpr.EXTRNL_REF as Account_Identifier,vp.EFF_FROM_DT,vp.EFF_TO_DT,vp.VALID_FROM_DT,vp.VALID_TO_DT
from $SchemaName$.EXTERNAL_ORGANISATION EO 
join $SchemaName$.RL_PLYR_RLSP rpr on rpr.RIGHT_ROLE_PLAY_ID= eo.ROLE_PLAY_ID and rpr.NATR_ID = 37
join $SchemaName$.VIRTUAL_PARTY vp on vp.ROLE_PLAY_ID=rpr.LEFT_ROLE_PLAY_ID and vp.TYP_ID=153 --Software Administration System
where eo.extrnl_ref='$AccountNumber$' and
vp.EXTRNL_REF = 'AIF Number' and 
TO_CHAR(rpr.EFF_TO_DT,'MM/DD/YYYY')='12/31/9999' and TO_CHAR(rpr.VALID_TO_DT,'MM/DD/YYYY')='12/31/9999' and 
TO_CHAR(eo.EFF_TO_DT,'MM/DD/YYYY')='12/31/9999' and TO_CHAR(eo.VALID_TO_DT,'MM/DD/YYYY')='12/31/9999' and 
TO_CHAR(vp.EFF_TO_DT,'MM/DD/YYYY')='12/31/9999' and TO_CHAR(vp.VALID_TO_DT,'MM/DD/YYYY')='12/31/9999'</t>
  </si>
  <si>
    <t>AccountSSN</t>
  </si>
  <si>
    <t>Acc_Ln_1_Addr</t>
  </si>
  <si>
    <t>Acc_City_Nm</t>
  </si>
  <si>
    <t>Acc_State_Abbr</t>
  </si>
  <si>
    <t>Acc_Zip_Code</t>
  </si>
  <si>
    <t>Acc_Cntry_Nm</t>
  </si>
  <si>
    <t>Acc_Cntry_Cd</t>
  </si>
  <si>
    <t>Acc_Add_Typ_desc</t>
  </si>
  <si>
    <t>select EO.EXTRNL_REF as Account_Number,pa.ADDR as Acc_Ln_1_Addr,pa.LINE_2_ADDR as Acc_Ln_2_Addr, pa.LINE_3_ADDR as Acc_Ln_3_Addr, 
pa.CITY_NM as Acc_City_Nm,pa.REG_CD as Acc_State_Abbr,pa.POST_CD as Acc_Zip_Code,pa.SUBREGION_NM as Acc_Cntry_Nm,
 pa.CNTRY_CD as Acc_Cntry_Cd,cp.USE_DESC as Acc_Add_Typ_desc,cp.EFF_FROM_DT,cp.EFF_TO_DT,cp.VALID_FROM_DT,cp.VALID_TO_DT
from $SchemaName$.EXTERNAL_ORGANISATION eo
join $SchemaName$.CONTACT_PREFERENCE cp on  eo.ROLE_PLAY_ID = cp.SUBJ_ROLE_PLAY_ID and cp.TYP_ID = 6 --Account Primary Address
join $SchemaName$.POSTAL_ADDRESS pa on cp.CNTCT_PNT_ID = pa.CNTCT_PNT_ID and pa.TYP_ID = 116 --Postal Address
where EO.extrnl_ref='$AccountNumber$' and  eo.TYP_ID = 34 and 
TO_CHAR(cp.EFF_TO_DT,'MM/DD/YYYY')='12/31/9999' and TO_CHAR(cp.VALID_TO_DT,'MM/DD/YYYY')='12/31/9999' and
TO_CHAR(eo.EFF_TO_DT,'MM/DD/YYYY')='12/31/9999' and TO_CHAR(eo.VALID_TO_DT,'MM/DD/YYYY')='12/31/9999'</t>
  </si>
  <si>
    <t>Prim_Email_Add</t>
  </si>
  <si>
    <t>Sec_Email_Add</t>
  </si>
  <si>
    <t>Acc_Web_Add</t>
  </si>
  <si>
    <t>Account_Telephone_Number</t>
  </si>
  <si>
    <t>Account_Fax_Number</t>
  </si>
  <si>
    <t>4434,3339,3344,3354,3355,3360,3361,3362</t>
  </si>
  <si>
    <t>Select EO.VALID_FROM_DT As Account_Request_Date,EO.EFF_FROM_DT As Account_Requested_Date,EO.EXTRNL_REF As Account_Number,EO.LGL_FORM_CD as Account_Legal_Entity_Type_Code
from $SchemaName$.EXTERNAL_ORGANISATION EO 
where EO.EXTRNL_REF='$AccountNumber$' 
and TO_CHAR(eo.EFF_TO_DT,'MM/DD/YYYY')='12/31/9999' and TO_CHAR(eo.VALID_TO_DT,'MM/DD/YYYY')='12/31/9999'</t>
  </si>
  <si>
    <t>Hyphen</t>
  </si>
  <si>
    <t>SrcFirstName</t>
  </si>
  <si>
    <t>SrcLastName</t>
  </si>
  <si>
    <t>CreateAccountTest_upd</t>
  </si>
  <si>
    <t>CreateAccountTest:::Test</t>
  </si>
  <si>
    <t>Contact_FirstName</t>
  </si>
  <si>
    <t>Contact_LastName</t>
  </si>
  <si>
    <t>ACTCNTCTFIRSTNAME</t>
  </si>
  <si>
    <t>ACTCONTCTLASTNAME</t>
  </si>
  <si>
    <t>ActContctLine1Addr</t>
  </si>
  <si>
    <t>ACTCONTCTCITYNAME</t>
  </si>
  <si>
    <t>ACTCONTCTCOUNTRYNAME</t>
  </si>
  <si>
    <t>ACTCONTCTSTATEABBERIVATION</t>
  </si>
  <si>
    <t>ACTCONTCTCOUNTRYCODE</t>
  </si>
  <si>
    <t>ACTCONTCTZIPCODE</t>
  </si>
  <si>
    <t>ACTCONTCTADDTYPDESC</t>
  </si>
  <si>
    <t>ACTCONTCTPRIEMAIL</t>
  </si>
  <si>
    <t>ACTCONTCTSECEMAIL</t>
  </si>
  <si>
    <t>ActContctPriTeleTypDesc</t>
  </si>
  <si>
    <t>Contact_Prim_Telephone_Desc</t>
  </si>
  <si>
    <t>ACTCONTACTTELEPHONUMBER</t>
  </si>
  <si>
    <t>ACTCONTACTACTFAXNUMBER</t>
  </si>
  <si>
    <t>Contact_Activation_Ind</t>
  </si>
  <si>
    <t>ACTCONTACTACTINDICATOR</t>
  </si>
  <si>
    <t>4435,3534,3547,3549,3550,3552,3553</t>
  </si>
  <si>
    <t>select EO.EXTRNL_REF as Enterprise_Acc_ID, vp.EXTRNL_REF as AccountSSN,vp.EFF_FROM_DT,vp.EFF_TO_DT,vp.VALID_FROM_DT,vp.VALID_TO_DT
from $SchemaName$.EXTERNAL_ORGANISATION EO 
join $SchemaName$.RL_PLYR_RLSP rpr on rpr.RIGHT_ROLE_PLAY_ID= eo.ROLE_PLAY_ID and rpr.NATR_ID = 37
join $SchemaName$.VIRTUAL_PARTY vp on vp.ROLE_PLAY_ID=rpr.LEFT_ROLE_PLAY_ID and vp.TYP_ID=153 --Software Administration System
where rpr.extrnl_ref='$AccountNumber$' and 
TO_CHAR(rpr.EFF_TO_DT,'MM/DD/YYYY')='12/31/9999' and TO_CHAR(rpr.VALID_TO_DT,'MM/DD/YYYY')='12/31/9999' and 
TO_CHAR(eo.EFF_TO_DT,'MM/DD/YYYY')='12/31/9999' and TO_CHAR(eo.VALID_TO_DT,'MM/DD/YYYY')='12/31/9999' and 
TO_CHAR(vp.EFF_TO_DT,'MM/DD/YYYY')='12/31/9999' and TO_CHAR(vp.VALID_TO_DT,'MM/DD/YYYY')='12/31/9999'</t>
  </si>
  <si>
    <t>CreateAccountTest_upd:::Test</t>
  </si>
  <si>
    <t>bliAddRole</t>
  </si>
  <si>
    <t>eleDBATab</t>
  </si>
  <si>
    <t>lstCompanyType</t>
  </si>
  <si>
    <t>DBA</t>
  </si>
  <si>
    <t>edtCompanyDBAName</t>
  </si>
  <si>
    <t>TestDBA</t>
  </si>
  <si>
    <t>eleDBAOK</t>
  </si>
  <si>
    <t>bliAddDBA</t>
  </si>
  <si>
    <t>TC_14_280_Edit DBA Details</t>
  </si>
  <si>
    <t>Contact_DBAName</t>
  </si>
  <si>
    <t>Contact_DBACode</t>
  </si>
  <si>
    <t>ActCntctCompanyName</t>
  </si>
  <si>
    <t>ACTDOINGBUSINESSASNAME</t>
  </si>
  <si>
    <t>DBA_TYPE_CD</t>
  </si>
  <si>
    <t>AccountName</t>
  </si>
  <si>
    <t>4449,3363</t>
  </si>
  <si>
    <t>46AB 46AB</t>
  </si>
  <si>
    <t>Follow up</t>
  </si>
  <si>
    <t>148233496276649</t>
  </si>
  <si>
    <t>TC18_1</t>
  </si>
  <si>
    <t>TC18_2</t>
  </si>
  <si>
    <t>305-PM</t>
  </si>
  <si>
    <t>PolicyMovesrcAccount1</t>
  </si>
  <si>
    <t>CreateAccountforTgt</t>
  </si>
  <si>
    <t>Create Target Accountfor Policy Merge</t>
  </si>
  <si>
    <t>CreateAccountandPolicy in Sce Account for Policy Merge</t>
  </si>
  <si>
    <t>PolicyMergeTgtAccount</t>
  </si>
  <si>
    <t>PolicyMergesrcAccountPolicy</t>
  </si>
  <si>
    <t>3500 CAMP BOWIE BLVD</t>
  </si>
  <si>
    <t>FORT WORTH</t>
  </si>
  <si>
    <t>Texas</t>
  </si>
  <si>
    <t>76107-2644</t>
  </si>
  <si>
    <t>Association</t>
  </si>
  <si>
    <t>HARTFORD INSURANCE DIRECT BILL</t>
  </si>
  <si>
    <t>AccountMerge</t>
  </si>
  <si>
    <t>State Act:::1: 3500 CAMP BOWIE BLVD, FORT WORTH, TX:::2802:::1234</t>
  </si>
  <si>
    <t>6 - The Hartford Underwriters Insurance Company</t>
  </si>
  <si>
    <t>3584,3586,3587</t>
  </si>
  <si>
    <t>TC_01_ODS_R2_305_Account_With_Single_Policy_Activity_Contact_Merge</t>
  </si>
  <si>
    <t>Contact_Name</t>
  </si>
  <si>
    <t>Select distinct ca.extrnl_ref As AccountSummary_PolicyNumber1,eo.EFF_FROM_DT As Account_Eff_Date,eo.EFF_TO_DT,
eo.VALID_FROM_DT As Account_ValidFrom_Date,eo.VALID_TO_DT 
from $SchemaName$.EXTERNAL_ORGANISATION EO 
join $SchemaName$.ROLE_PLAYER rp on rp.ROLE_PLAY_ID = EO.ROLE_PLAY_ID  
join $SchemaName$.financial_services_role fsr on rp.ROLE_PLAY_ID=fsr.FINCL_SRVC_ROLE_PLAY_ID 
join $SchemaName$.commercial_agrmnt ca on ca.agree_id = FSR.CNTXT_FINCL_SRVC_AGREE_ID
where eo.extrnl_ref='$AccountNumber$' and TO_CHAR(ca.EFF_TO_DT,'MM/DD/YYYY')='12/31/9999'and TO_CHAR(ca.VALID_TO_DT,'MM/DD/YYYY')='12/31/9999' and
ca.extrnl_ref is not null and  
TO_CHAR(fsr.EFF_TO_DT,'MM/DD/YYYY')='12/31/9999' and TO_CHAR(fsr.VALID_TO_DT,'MM/DD/YYYY')='12/31/9999' and 
TO_CHAR(eo.EFF_TO_DT,'MM/DD/YYYY')='12/31/9999'and TO_CHAR(eo.VALID_TO_DT,'MM/DD/YYYY')='12/31/9999'</t>
  </si>
  <si>
    <t>AccountSummary_PolicyNumber1</t>
  </si>
  <si>
    <t>AccountSummary_AccountNumber1</t>
  </si>
  <si>
    <t>AccountSummary_PolicyNumber2</t>
  </si>
  <si>
    <t>AccountSummary_AccountNumber2</t>
  </si>
  <si>
    <t>Src_Acct_Id_Source_System_Nm</t>
  </si>
  <si>
    <t>select distinct ca.EXTRNL_REF As AccountSummary_PolicyNumber2,rpr.EXTRNL_REF Src_Acct_Id_Source_System_Nm,
rpr.EFF_FROM_DT As Policy_Eff_Date,rpr.EFF_TO_DT,rpr.VALID_FROM_DT As Policy_ValidFrom_Date,rpr.VALID_TO_DT 
from $SchemaName$.VIRTUAL_PARTY vp 
join $SchemaName$.RL_PLYR_RLSP  rpr on rpr.LEFT_ROLE_PLAY_ID = vp.ROLE_PLAY_ID and vp.TYP_ID = 153 --Software Administration System
join $SchemaName$.FINANCIAL_SERVICES_ROLE fsr on fsr.fincl_srvc_role_play_id=rpr.RIGHT_ROLE_PLAY_ID
join $SchemaName$.COMMERCIAL_AGRMNT ca on ca.agree_id = FSR.CNTXT_FINCL_SRVC_AGREE_ID
where ca.extrnl_ref='$PolicyNumber$' and TO_CHAR(ca.EFF_TO_DT,'MM/DD/YYYY')='12/31/9999' 
and rpr.EXTRNL_REF like '14%'
and TO_CHAR(ca.VALID_TO_DT,'MM/DD/YYYY')='12/31/9999' and TO_CHAR(rpr.EFF_TO_DT,'MM/DD/YYYY')='12/31/9999' 
and TO_CHAR(rpr.VALID_TO_DT,'MM/DD/YYYY')='12/31/9999'and TO_CHAR(fsr.EFF_TO_DT,'MM/DD/YYYY')='12/31/9999' 
and TO_CHAR(fsr.VALID_TO_DT,'MM/DD/YYYY')='12/31/9999'</t>
  </si>
  <si>
    <t>AccountSummary_PolicyNumber3</t>
  </si>
  <si>
    <t>Src_Account_Holder_Name</t>
  </si>
  <si>
    <t>select distinct cr.TRANS_TYP_CD As AccountSummary_PolicyType,AST.STAT As AccountSummary_PolicyStatus,ca.EXTRNL_REF As AccountSummary_PolicyNumber3,
pn.FULL_NM As Src_Account_Holder_Name, ca.EFF_FROM_DT,ca.EFF_TO_DT,ca.VALID_FROM_DT,ca.VALID_TO_DT  
from $SchemaName$.COMMERCIAL_AGRMNT ca
join $SchemaName$.AGREEMENT ag on ag.AGREE_ID=ca.AGREE_ID   
join $SchemaName$.agrmnt_status ast on CA.AGREE_ID=AST.AGREE_ID
join $SchemaName$.Agrmnt_request_agrmnt_rlsp arar on ca.agree_id = arar.agree_id 
Join $SchemaName$.agrmnt_request AR on ar.agree_rqst_id = arar.agree_rqst_id 
Join $SchemaName$.Change_request cr on cr.agree_rqst_id = ar.agree_rqst_id
join $SchemaName$.FINANCIAL_SERVICES_ROLE fsr on ca.agree_id = FSR.CNTXT_FINCL_SRVC_AGREE_ID --and fsr.TYP_ID=246  --(Main Insured)
join $SchemaName$.RL_PLYR_PARTY_NAME_RLSP rppnr on rppnr.ROLE_PLAY_ID = fsr.ROLE_PLAY_ID and rppnr.NATR_ID=73 --Main Insured full Name
join $SchemaName$.PARTY_NAME pn on rppnr.PRTY_NM_ID = PN.PRTY_NM_ID  and pn.TYP_ID = 97
where ca.extrnl_ref='$PolicyNumber$' and TO_CHAR(ca.EFF_TO_DT,'MM/DD/YYYY')='12/31/9999' 
and TO_CHAR(ca.VALID_TO_DT,'MM/DD/YYYY')='12/31/9999' and TO_CHAR(ast.EFF_TO_DT,'MM/DD/YYYY')='12/31/9999' 
and TO_CHAR(ast.VALID_TO_DT,'MM/DD/YYYY')='12/31/9999' and TO_CHAR(arar.EFF_TO_DT,'MM/DD/YYYY')='12/31/9999' 
and TO_CHAR(arar.VALID_TO_DT,'MM/DD/YYYY')='12/31/9999' and CR.REQUESTED_DT BETWEEN CA.EFF_FROM_DT AND CA.EFF_TO_DT
AND CR.REQUEST_DT BETWEEN CA.VALID_FROM_DT AND CA.VALID_TO_DT AND ARAR.EFF_FROM_DT = CR.REQUESTED_DT
AND ARAR.VALID_FROM_DT = CR.REQUEST_DT AND CA.EFF_FROM_DT = CR.REQUESTED_DT
AND CA.VALID_FROM_DT = CR.REQUEST_DT</t>
  </si>
  <si>
    <t>select EO.EXTRNL_REf As AccountSummary_AccountNumber2,ca.POL_TERM_EXTRNL_ID public_Key,T.task_desc As AccountSummary_ActivityDesc,
t.CLASS_CD Activity_Type_Code,t.SYS_STAT_CD As AccountSummary_ActivityStatus, 
fsr.EFF_FROM_DT As Account_Eff_Date, fsr.EFF_TO_DT, fsr.VALID_FROM_DT As Account_ValidFrom_Date, fsr.VALID_TO_DT 
from $SchemaName$.commercial_agrmnt ca 
join $SchemaName$.agreement ag on ca.agree_id=ag.Agree_id 
join $SchemaName$.financial_services_role fsr on ca.agree_id = FSR.CNTXT_FINCL_SRVC_AGREE_ID
join $SchemaName$.EXTERNAL_ORGANISATION EO on FSR.FINCL_SRVC_ROLE_PLAY_ID = EO.ROLE_PLAY_ID  
join $SchemaName$.ACTIVITY_AGRMNT_RLSP aar on aar.agree_id=ag.agree_id
join $SchemaName$.Activity act on act.ACTV_ID = aar.ACTV_ID --and aar.NATR_ID = 207 --Underwriting Workers Compensation Policy
join $SchemaName$.task t on t.ACTV_ID = act.ACTV_ID and act.TYP_ID = 404 --Underwriting*/
where EO.EXTRNL_REf='$AccountNumber$'
and TO_CHAR(ca.EFF_TO_DT,'MM/DD/YYYY')='12/31/9999' 
and TO_CHAR(ca.VALID_TO_DT,'MM/DD/YYYY')='12/31/9999' and TO_CHAR(aar.EFF_TO_DT,'MM/DD/YYYY')='12/31/9999' 
and TO_CHAR(aar.VALID_TO_DT,'MM/DD/YYYY')='12/31/9999' and TO_CHAR(ca.EFF_TO_DT,'MM/DD/YYYY')='12/31/9999' 
and TO_CHAR(t.VALID_TO_DT,'MM/DD/YYYY')='12/31/9999' and TO_CHAR(t.EFF_TO_DT,'MM/DD/YYYY')='12/31/9999' 
and TO_CHAR(t.VALID_TO_DT,'MM/DD/YYYY')='12/31/9999' and TO_CHAR(fsr.EFF_TO_DT,'MM/DD/YYYY')='12/31/9999' 
and TO_CHAR(fsr.VALID_TO_DT,'MM/DD/YYYY')='12/31/9999'</t>
  </si>
  <si>
    <t>CreateAccountPolicyCA</t>
  </si>
  <si>
    <t>cfuPageVerify</t>
  </si>
  <si>
    <t>CommertialProgramName</t>
  </si>
  <si>
    <t>AffGroupName</t>
  </si>
  <si>
    <t>AthorityCPID</t>
  </si>
  <si>
    <t>eleICLastNamebutton</t>
  </si>
  <si>
    <t>edtUserNameQPB</t>
  </si>
  <si>
    <t>eleSearchQPB</t>
  </si>
  <si>
    <t>eleSelectQPB</t>
  </si>
  <si>
    <t>eleAuthorityCancel</t>
  </si>
  <si>
    <t>eleAuthorityBasics</t>
  </si>
  <si>
    <t>funVerifyAffinityGrp</t>
  </si>
  <si>
    <t>funCommertialProgramName</t>
  </si>
  <si>
    <t>funAffGroupName</t>
  </si>
  <si>
    <t>funCPID</t>
  </si>
  <si>
    <t>CPG2233</t>
  </si>
  <si>
    <t>TC152</t>
  </si>
  <si>
    <t>TC5_1</t>
  </si>
  <si>
    <t>AffinityGrp_CommPgmName</t>
  </si>
  <si>
    <t>eleAffinityGrp_clkReset</t>
  </si>
  <si>
    <t>funVerifyReset</t>
  </si>
  <si>
    <t>TC6_1</t>
  </si>
  <si>
    <t>select ctg.EXTRNL_REF as AffinityGroup_CPID,ctg.EFF_FROM_DT As AffinityGroup_RequestedDate,ctg.EFF_TO_DT,ctg.VALID_FROM_DT as AffinityGroup_RequestDate,
ctg.VALID_TO_DT 
from $SchemaName$.RL_PLYR_CATEGORY_RLSP rpcr 
join $SchemaName$.CATEGORY ctg on ctg.CATGY_ID=rpcr.CATGY_ID and ctg.TYP_ID=40 --CPID
where ctg.EXTRNL_REF='$AffinityGroup_CPID$'
and rpcr.NATR_ID = 572 --Affinity Group CPID and TO_CHAR(rpcr.EFF_TO_DT,'MM/DD/YYYY')='12/31/9999' 
and TO_CHAR(rpcr.VALID_TO_DT,'MM/DD/YYYY')='12/31/9999' and TO_CHAR(ctg.EFF_TO_DT,'MM/DD/YYYY')='12/31/9999' 
and TO_CHAR(ctg.VALID_TO_DT,'MM/DD/YYYY')='12/31/9999'</t>
  </si>
  <si>
    <t>select ctg.EXTRNL_REF as CPID,ctg.START_TMSP as AffinityGroup_StartDate,ctg.END_TMSP as AffinityGroup_EndDate,ctg.EFF_FROM_DT,
ctg.EFF_TO_DT,ctg.VALID_FROM_DT,ctg.VALID_TO_DT 
from $SchemaName$.RL_PLYR_CATEGORY_RLSP rpcr 
join $SchemaName$.CATEGORY ctg on ctg.CATGY_ID=rpcr.CATGY_ID and ctg.TYP_ID= 40 --CPID
where ctg.EXTRNL_REF='$AffinityGroup_CPID$' and  rpcr.NATR_ID = 572 --Affinity Group CPID 
and TO_CHAR(rpcr.EFF_TO_DT,'MM/DD/YYYY')='12/31/9999'and TO_CHAR(rpcr.VALID_TO_DT,'MM/DD/YYYY')='12/31/9999' 
and TO_CHAR(ctg.EFF_TO_DT,'MM/DD/YYYY')='12/31/9999' and TO_CHAR(ctg.VALID_TO_DT,'MM/DD/YYYY')='12/31/9999'</t>
  </si>
  <si>
    <t>select EO.EXTRNL_REF as CPID,ctg.EXTRNL_REF as AffinityGroup_Segment_Code,ctg.EFF_FROM_DT,ctg.EFF_TO_DT,ctg.VALID_FROM_DT,ctg.VALID_TO_DT 
from $SchemaName$.EXTERNAL_ORGANISATION EO 
join $SchemaName$.RL_PLYR_CATEGORY_RLSP rpcr on rpcr.ROLE_PLAY_ID =EO.ROLE_PLAY_ID and rpcr.NATR_ID = 537 --Affinity Group Business Segment
join $SchemaName$.CATEGORY ctg on ctg.CATGY_ID=rpcr.CATGY_ID and ctg.TYP_ID=30 --Business Segment
where EO.EXTRNL_REF='$AffinityGroup_CPID$' and EO.TYP_ID=902 and TO_CHAR(EO.EFF_TO_DT,'MM/DD/YYYY')='12/31/9999' 
and TO_CHAR(EO.VALID_TO_DT,'MM/DD/YYYY')='12/31/9999' and TO_CHAR(rpcr.EFF_TO_DT,'MM/DD/YYYY')='12/31/9999' 
and TO_CHAR(rpcr.VALID_TO_DT,'MM/DD/YYYY')='12/31/9999' and TO_CHAR(ctg.EFF_TO_DT,'MM/DD/YYYY')='12/31/9999' 
and TO_CHAR(ctg.VALID_TO_DT,'MM/DD/YYYY')='12/31/9999'</t>
  </si>
  <si>
    <t>select EO.EXTRNL_REF as CPID,ctg.EXTRNL_REF as AffinityGroup_Products,ctg.EFF_FROM_DT,ctg.EFF_TO_DT,ctg.VALID_FROM_DT,ctg.VALID_TO_DT 
from $SchemaName$.EXTERNAL_ORGANISATION EO 
join $SchemaName$.RL_PLYR_CATEGORY_RLSP rpcr on rpcr.ROLE_PLAY_ID =EO.ROLE_PLAY_ID and rpcr.NATR_ID = 549 --Affinity Group Product Group
join $SchemaName$.CATEGORY ctg on ctg.CATGY_ID=rpcr.CATGY_ID and ctg.TYP_ID=255 --Product Group
where EO.EXTRNL_REF='$AffinityGroup_CPID$' and EO.TYP_ID=902 and TO_CHAR(EO.EFF_TO_DT,'MM/DD/YYYY')='12/31/9999' 
and TO_CHAR(EO.VALID_TO_DT,'MM/DD/YYYY')='12/31/9999' and TO_CHAR(rpcr.EFF_TO_DT,'MM/DD/YYYY')='12/31/9999' 
and TO_CHAR(rpcr.VALID_TO_DT,'MM/DD/YYYY')='12/31/9999' and TO_CHAR(ctg.EFF_TO_DT,'MM/DD/YYYY')='12/31/9999' 
and TO_CHAR(ctg.VALID_TO_DT,'MM/DD/YYYY')='12/31/9999'</t>
  </si>
  <si>
    <t>select EO.EXTRNL_REF as CPID,chnr.EXTRNL_REF as AffinityGroup_ProducerCode, agr.EFF_FROM_DT,agr.Start_DT as AffinityGroup_ProdEffDate,
agr.END_DT as AffinityGroup_ProdExpDate,
agr.EFF_TO_DT,agr.VALID_FROM_DT,agr.VALID_TO_DT 
from $SchemaName$.EXTERNAL_ORGANISATION EO 
join $SchemaName$.AGENCY_ROLE agr on agr.AGNCY_ROLE_ROLE_PLAY_ID=EO.ROLE_PLAY_ID and agr.TYP_ID =  907 --Affinity Group Agency
join $SchemaName$.CHANNEL_ROLE chnr on chnr.ROLE_PLAY_ID=agr.CNTXT_ROLE_PLAY_ID and chnr.TYP_ID=14 --Agency
where EO.EXTRNL_REF='$AffinityGroup_CPID$' and EO.TYP_ID=902 and TO_CHAR(EO.EFF_TO_DT,'MM/DD/YYYY')='12/31/9999' 
and TO_CHAR(EO.VALID_TO_DT,'MM/DD/YYYY')='12/31/9999' and TO_CHAR(agr.EFF_TO_DT,'MM/DD/YYYY')='12/31/9999' 
and TO_CHAR(agr.VALID_TO_DT,'MM/DD/YYYY')='12/31/9999'</t>
  </si>
  <si>
    <t>Select ga.JURIS_CD As AffinityGroup_JurisdictionSt,ga.EFF_FROM_DT,ga.EFF_TO_DT,ga.VALID_FROM_DT,ga.VALID_TO_DT 
from $SchemaName$.EXTERNAL_ORGANISATION EO 
join $SchemaName$.RL_PLYR_PLACE_RLSP rpplr on rpplr.ROLE_PLAY_ID=EO.ROLE_PLAY_ID and rpplr.NATR_ID = 550 --Affinity Group Jurisdiction
join $SchemaName$.GEOGRAPHIC_AREA GA on ga.PLACE_ID=rpplr.PLACE_ID and ga.TYP_ID = 873 --Jurisdiction
where EO.EXTRNL_REF='$AffinityGroup_CPID$' and  TO_CHAR(EO.EFF_TO_DT,'MM/DD/YYYY')='12/31/9999' 
and TO_CHAR(EO.VALID_TO_DT,'MM/DD/YYYY')='12/31/9999' and TO_CHAR(rpplr.EFF_TO_DT,'MM/DD/YYYY')='12/31/9999' and EO.TYP_ID = 902
and TO_CHAR(rpplr.VALID_TO_DT,'MM/DD/YYYY')='12/31/9999'</t>
  </si>
  <si>
    <t>Reminder</t>
  </si>
  <si>
    <t>eleCLAManualYES</t>
  </si>
  <si>
    <t>lstCLAPolicySymbol</t>
  </si>
  <si>
    <t>eleCLAReservePolicyNumber</t>
  </si>
  <si>
    <t>eleCLAPISaveDraft</t>
  </si>
  <si>
    <t>eleCLABindOption</t>
  </si>
  <si>
    <t>eleCLAQuotedBO</t>
  </si>
  <si>
    <t>AB</t>
  </si>
  <si>
    <t>1211,1452</t>
  </si>
  <si>
    <t>select EO.EXTRNL_REF as CPID,EO.RSTRCION_CD As AffinityGroup_Type,EO.EFF_FROM_DT,eo.EFF_TO_DT,EO.VALID_FROM_DT,EO.VALID_TO_DT 
from $SchemaName$.EXTERNAL_ORGANISATION EO where EO.EXTRNL_REF='$AffinityGroup_CPID$' and EO.TYP_ID=902 and TO_CHAR(EO.EFF_TO_DT,'MM/DD/YYYY')='12/31/9999' 
and TO_CHAR(EO.VALID_TO_DT,'MM/DD/YYYY')='12/31/9999'</t>
  </si>
  <si>
    <t>select EO.EXTRNL_REF as CPID,PN.FULL_NM As AffinityGroup_OrganizationName,rppnr.EFF_FROM_DT,rppnr.EFF_TO_DT,rppnr.VALID_FROM_DT,rppnr.VALID_TO_DT
from $SchemaName$.EXTERNAL_ORGANISATION EO 
join $SchemaName$.RL_PLYR_RLSP rpr on rpr.LEFT_ROLE_PLAY_ID =EO.ROLE_PLAY_ID and rpr.NATR_ID = 538 --Affinity Group Organization
join $SchemaName$.INTERNAL_ORGANISATION IO on IO.ROLE_PLAY_ID=rpr.RIGHT_ROLE_PLAY_ID and IO.TYP_ID = 711  --Organization
join $SchemaName$.RL_PLYR_PARTY_NAME_RLSP rppnr on rppnr.ROLE_PLAY_ID =IO.ROLE_PLAY_ID and rppnr.NATR_ID = 324 --Organization Name
join $SchemaName$.PARTY_NAME PN on PN.PRTY_NM_ID =rppnr.PRTY_NM_ID  and PN.TYP_ID = 97 --Full Name
where EO.EXTRNL_REF='$AffinityGroup_CPID$' and EO.TYP_ID=902 and TO_CHAR(EO.EFF_TO_DT,'MM/DD/YYYY')='12/31/9999' 
and TO_CHAR(EO.VALID_TO_DT,'MM/DD/YYYY')='12/31/9999' and TO_CHAR(rpr.EFF_TO_DT,'MM/DD/YYYY')='12/31/9999' 
and TO_CHAR(rpr.VALID_TO_DT,'MM/DD/YYYY')='12/31/9999'and TO_CHAR(rppnr.EFF_TO_DT,'MM/DD/YYYY')='12/31/9999' 
and TO_CHAR(rppnr.VALID_TO_DT,'MM/DD/YYYY')='12/31/9999'and TO_CHAR(IO.EFF_TO_DT,'MM/DD/YYYY')='12/31/9999' 
and TO_CHAR(IO.VALID_TO_DT,'MM/DD/YYYY')='12/31/9999'</t>
  </si>
  <si>
    <t>select EO.EXTRNL_REF as CPID,PN.FIRST_NM As AffinityGroup_PCFirstName,PN.SHORT_NM As AffntyGrpPrmConShrtNm,PN.LAST_NM As AffinityGroup_PCLastName,
cp.EFF_FROM_DT,cp.EFF_TO_DT,cp.VALID_FROM_DT,cp.VALID_TO_DT 
from $SchemaName$.EXTERNAL_ORGANISATION EO 
join $SchemaName$.CONTACT_PREFERENCE CP on CP.SUBJ_ROLE_PLAY_ID =EO.ROLE_PLAY_ID and CP.TYP_ID=915 --Affinity Group Primary Contact Phone Number
join $SchemaName$.contact_party_name_rlsp cpnr on cp.CNTCT_ID=cpnr.CNTCT_ID and CPNR.NATR_ID=578
join $SchemaName$.PARTY_NAME PN on PN.PRTY_NM_ID =CPNR.PRTY_NM_ID and PN.TYP_ID =110 --Person Name
where EO.EXTRNL_REF='$AffinityGroup_CPID$' and EO.TYP_ID=902 and TO_CHAR(EO.EFF_TO_DT,'MM/DD/YYYY')='12/31/9999' 
and TO_CHAR(EO.VALID_TO_DT,'MM/DD/YYYY')='12/31/9999' and TO_CHAR(cp.EFF_TO_DT,'MM/DD/YYYY')='12/31/9999' 
and TO_CHAR(cp.VALID_TO_DT,'MM/DD/YYYY')='12/31/9999' and TO_CHAR(cpnr.EFF_TO_DT,'MM/DD/YYYY')='12/31/9999' 
and TO_CHAR(cpnr.VALID_TO_DT,'MM/DD/YYYY')='12/31/9999'</t>
  </si>
  <si>
    <t>select EO.EXTRNL_REF as CPID,TN.LOCAL_NUM As AffinityGroup_PCPhoneNumber,
ccpr.EFF_FROM_DT,ccpr.EFF_TO_DT,ccpr.VALID_FROM_DT,ccpr.VALID_TO_DT 
from $SchemaName$.EXTERNAL_ORGANISATION EO 
join $SchemaName$.CONTACT_PREFERENCE CP on CP.SUBJ_ROLE_PLAY_ID =EO.ROLE_PLAY_ID and CP.TYP_ID=915 --Affinity Group PrimaryContact Phone Number
join $SchemaName$.contact_contact_point_rlsp ccpr on cp.CNTCT_ID=ccpr.CNTCT_ID and CCPR.NATR_ID=728 --Affinity Group Primary Contact Phone Number
join $SchemaName$.TELEPHONE_NUMBER TN on TN.CNTCT_PNT_ID=ccpr.CNTCT_PNT_ID and TN.TYP_ID=111 --Phone Number
where EO.EXTRNL_REF='$AffinityGroup_CPID$' and EO.TYP_ID=902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</si>
  <si>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CPID,EA.NODE_TXT As AffinityGroup_PCEmail,
ccpr.EFF_FROM_DT,ccpr.EFF_TO_DT,ccpr.VALID_FROM_DT,ccpr.VALID_TO_DT 
from $SchemaName$.EXTERNAL_ORGANISATION EO 
join $SchemaName$.CONTACT_PREFERENCE CP on CP.SUBJ_ROLE_PLAY_ID =EO.ROLE_PLAY_ID and CP.TYP_ID=915 --Affinity Group Primary Contact Phone Number
join $SchemaName$.contact_contact_point_rlsp ccpr on cp.CNTCT_ID=ccpr.CNTCT_ID and CCPR.NATR_ID=729 --Affinity Group Primary Contact Email
join $SchemaName$.ELECTRONIC_ADDRESS EA on EA.CNTCT_PNT_ID=ccpr.CNTCT_PNT_ID and EA.TYP_ID=55 --Email Address
where EO.EXTRNL_REF='$AffinityGroup_CPID$' and EO.TYP_ID=902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</si>
  <si>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CPID,PN.FIRST_NM As AffinityGroup_ICFirstName,cp.EFF_FROM_DT,cp.EFF_TO_DT,cp.VALID_FROM_DT,cp.VALID_TO_DT 
from $SchemaName$.EXTERNAL_ORGANISATION EO 
join $SchemaName$.CONTACT_PREFERENCE CP on CP.SUBJ_ROLE_PLAY_ID =EO.ROLE_PLAY_ID and CP.TYP_ID=914 --Affinity Group internal Contact Phone Number
join $SchemaName$.contact_party_name_rlsp cpnr on cp.CNTCT_ID=cpnr.CNTCT_ID and CPNR.NATR_ID=579
join $SchemaName$.PARTY_NAME PN on PN.PRTY_NM_ID =CPNR.PRTY_NM_ID and PN.TYP_ID =110 --Person Name
where EO.EXTRNL_REF='$AffinityGroup_CPID$' and EO.TYP_ID=902 and TO_CHAR(EO.EFF_TO_DT,'MM/DD/YYYY')='12/31/9999' 
and TO_CHAR(EO.VALID_TO_DT,'MM/DD/YYYY')='12/31/9999' and TO_CHAR(cp.EFF_TO_DT,'MM/DD/YYYY')='12/31/9999' 
and TO_CHAR(cp.VALID_TO_DT,'MM/DD/YYYY')='12/31/9999' and TO_CHAR(cpnr.EFF_TO_DT,'MM/DD/YYYY')='12/31/9999' 
and TO_CHAR(cpnr.VALID_TO_DT,'MM/DD/YYYY')='12/31/9999'</t>
  </si>
  <si>
    <t>select EO.EXTRNL_REF as CPID,PN.LAST_NM As AffinityGroup_ICLastName,
cp.EFF_FROM_DT,cp.EFF_TO_DT,cp.VALID_FROM_DT,cp.VALID_TO_DT 
from $SchemaName$.EXTERNAL_ORGANISATION EO 
join $SchemaName$.CONTACT_PREFERENCE CP on CP.SUBJ_ROLE_PLAY_ID =EO.ROLE_PLAY_ID and CP.TYP_ID=914 --Affinity Group internal Contact Phone Number
join $SchemaName$.contact_party_name_rlsp cpnr on cp.CNTCT_ID=cpnr.CNTCT_ID and CPNR.NATR_ID=579
join $SchemaName$.PARTY_NAME PN on PN.PRTY_NM_ID =CPNR.PRTY_NM_ID and PN.TYP_ID =110 --Person Name
where EO.EXTRNL_REF='$AffinityGroup_CPID$' and EO.TYP_ID=902 and TO_CHAR(EO.EFF_TO_DT,'MM/DD/YYYY')='12/31/9999' 
and TO_CHAR(EO.VALID_TO_DT,'MM/DD/YYYY')='12/31/9999' and TO_CHAR(cp.EFF_TO_DT,'MM/DD/YYYY')='12/31/9999' 
and TO_CHAR(cp.VALID_TO_DT,'MM/DD/YYYY')='12/31/9999' and TO_CHAR(cpnr.EFF_TO_DT,'MM/DD/YYYY')='12/31/9999' 
and TO_CHAR(cpnr.VALID_TO_DT,'MM/DD/YYYY')='12/31/9999'</t>
  </si>
  <si>
    <t>select EO.EXTRNL_REF as "CPID",TN.LOCAL_NUM As AffinityGroup_ICPhoneNumber,
ccpr.EFF_FROM_DT,ccpr.EFF_TO_DT,ccpr.VALID_FROM_DT,ccpr.VALID_TO_DT 
from $SchemaName$.EXTERNAL_ORGANISATION EO 
join $SchemaName$.CONTACT_PREFERENCE CP on CP.SUBJ_ROLE_PLAY_ID =EO.ROLE_PLAY_ID and CP.TYP_ID=914 --Affinity Group internal Contact Phone Number
join $SchemaName$.contact_contact_point_rlsp ccpr on cp.CNTCT_ID=ccpr.CNTCT_ID and CCPR.NATR_ID=730 --Affinity Group INternal Contact Phone Number
join $SchemaName$.TELEPHONE_NUMBER TN on TN.CNTCT_PNT_ID=ccpr.CNTCT_PNT_ID and TN.TYP_ID=111 --Phone Number
where EO.EXTRNL_REF='$AffinityGroup_CPID$' and EO.TYP_ID=902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</si>
  <si>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CPID,EA.NODE_TXT As AffinityGroup_ICEmail,
ccpr.EFF_FROM_DT,ccpr.EFF_TO_DT,ccpr.VALID_FROM_DT,ccpr.VALID_TO_DT 
from $SchemaName$.EXTERNAL_ORGANISATION EO 
join $SchemaName$.CONTACT_PREFERENCE CP on CP.SUBJ_ROLE_PLAY_ID =EO.ROLE_PLAY_ID and CP.TYP_ID=914 --Affinity Group internal Contact Phone Number
join $SchemaName$.contact_contact_point_rlsp ccpr on cp.CNTCT_ID=ccpr.CNTCT_ID and CCPR.NATR_ID=731 --Affinity Group Internal Contact Email
join $SchemaName$.ELECTRONIC_ADDRESS EA on EA.CNTCT_PNT_ID=ccpr.CNTCT_PNT_ID and EA.TYP_ID=55 --Email Address
where EO.EXTRNL_REF='$AffinityGroup_CPID$' and EO.TYP_ID=902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</si>
  <si>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MapPCODS</t>
  </si>
  <si>
    <t>eleAccountSummary_AccountNumber:::eleAccountSummary_AccountNumber:funpagescreenshot</t>
  </si>
  <si>
    <t>elePolicySummary_AccountNumber:elePolicySummary_PolicyNumber:::elePolicySummary_AccountNumber:elePolicySummary_PolicyNumber:funpagescreenshot</t>
  </si>
  <si>
    <t>TC15a</t>
  </si>
  <si>
    <t>TC_07_ODS_R2_302_Data_validation</t>
  </si>
  <si>
    <t>TC_01_06_ODS_R2_302_Data_validation</t>
  </si>
  <si>
    <t>eleAccountSummary_AccountNumber:lstAccountSummary_PolTran-All:funAccountSummary_subPolicyNum:::eleAccountSummary_AccountNumber:funpagescreenshot:cfuReturnCurrentDate-Account_Eff_Date:cfuReturnCurrentDate-Policy_Eff_Date:cfuReturnCurrentDate-Account_ValidFrom_Date:cfuReturnCurrentDate-Policy_ValidFrom_Date:funAccountSummary_Activity:funpagescreenshot:clkEdtButton:edtAccount_Address1:edtAccount_City:funpagescreenshot:clkEditUpdate:clkContacts:funACCOUNT_MERGEDCONTACT</t>
  </si>
  <si>
    <t>select distinct rpr.EXTRNL_REF Account_Num,ca.EXTRNL_REF As policy_number,ctg.EXTRNL_REF As AP_BusinessSegment,acr.SKILL_LVL_CD As AP_SkillLevel,
acr.TRACK_CD As AP_Track,acr.EFF_FROM_DT,acr.EFF_TO_DT, acr.VALID_FROM_DT, acr.VALID_TO_DT 
from $SchemaName$.COMMERCIAL_AGRMNT ca 
join $SchemaName$.FINANCIAL_SERVICES_ROLE fsr on ca.agree_id = FSR.CNTXT_FINCL_SRVC_AGREE_ID and ca.TYP_ID = 849--Commercial Shell
join $SchemaName$.RL_PLYR_RLSP  rpr on fsr.fincl_srvc_role_play_id=rpr.RIGHT_ROLE_PLAY_ID  
join $SchemaName$.VIRTUAL_PARTY vp on rpr.LEFT_ROLE_PLAY_ID = vp.ROLE_PLAY_ID and vp.TYP_ID = 153 --Software Administration System
join $SchemaName$.ACTIVITY_AGRMNT_RLSP aar on aar.agree_id=ca.agree_id and aar.NATR_ID=566 --Underwriting Commercial Policy
join $SchemaName$.ACTIVITY act on act.ACTV_ID = aar.ACTV_ID and act.TYP_ID = 404 --Underwriting
join $SchemaName$.task t on t.ACTV_ID=act.ACTV_ID and t.TYP_ID=404
join $SchemaName$.ACTIVITY_CATEGORY_RLSP acr on acr.ACTV_ID = t.ACTV_ID and acr.NATR_ID = 410 --Underwriting activity Business Segment
join $SchemaName$.CATEGORY ctg on ctg.CATGY_ID = acr.CATGY_ID and ctg.TYP_ID =  30 --Business Segment
where  ca.EXTRNL_REF ='$PolicyNumber$'
and TO_CHAR(ca.EFF_TO_DT,'MM/DD/YYYY')='12/31/9999' 
and TO_CHAR(ca.VALID_TO_DT,'MM/DD/YYYY')='12/31/9999' and TO_CHAR(aar.EFF_TO_DT,'MM/DD/YYYY')='12/31/9999' 
and TO_CHAR(aar.VALID_TO_DT,'MM/DD/YYYY')='12/31/9999' and TO_CHAR(acr.EFF_TO_DT,'MM/DD/YYYY')='12/31/9999' 
and TO_CHAR(acr.VALID_TO_DT,'MM/DD/YYYY')='12/31/9999' and TO_CHAR(fsr.EFF_TO_DT,'MM/DD/YYYY')='12/31/9999' 
and TO_CHAR(fsr.VALID_TO_DT,'MM/DD/YYYY')='12/31/9999' and TO_CHAR(vp.EFF_TO_DT,'MM/DD/YYYY')='12/31/9999' 
and TO_CHAR(vp.VALID_TO_DT,'MM/DD/YYYY')='12/31/9999' and TO_CHAR(rpr.EFF_TO_DT,'MM/DD/YYYY')='12/31/9999' 
and TO_CHAR(rpr.VALID_TO_DT,'MM/DD/YYYY')='12/31/9999'</t>
  </si>
  <si>
    <t>cfuZipFolder</t>
  </si>
  <si>
    <t>AccountMerge:::AccountNumber:::AccountMerge</t>
  </si>
  <si>
    <t>AccountMerge:::PolicyNumber:::AccountMerge</t>
  </si>
  <si>
    <t>funUpdateAccountNumber</t>
  </si>
  <si>
    <t>AccountFileSummaryPage</t>
  </si>
  <si>
    <t>2</t>
  </si>
  <si>
    <t>N</t>
  </si>
  <si>
    <t>AddClass</t>
  </si>
  <si>
    <t>AssertStateCoverage</t>
  </si>
  <si>
    <t>AddWCOptions</t>
  </si>
  <si>
    <t>PRQuote</t>
  </si>
  <si>
    <t>TC25</t>
  </si>
  <si>
    <t>293-RUR</t>
  </si>
  <si>
    <t>46WECAA5ETC</t>
  </si>
  <si>
    <t>TC24</t>
  </si>
  <si>
    <t>291-CP</t>
  </si>
  <si>
    <t>VerifyBillingcontact</t>
  </si>
  <si>
    <t>elePayBillingContactLink</t>
  </si>
  <si>
    <t>elePayNewPerson</t>
  </si>
  <si>
    <t>lstPayPrimaryPhone</t>
  </si>
  <si>
    <t>Home</t>
  </si>
  <si>
    <t>elePayHomePhone</t>
  </si>
  <si>
    <t>edtPayHomePhone</t>
  </si>
  <si>
    <t>569-256-8978</t>
  </si>
  <si>
    <t>elePayFaxPhone</t>
  </si>
  <si>
    <t>edtPayFaxPhone</t>
  </si>
  <si>
    <t>elePayPrimaryEmail</t>
  </si>
  <si>
    <t>edtPayPrimaryEmail</t>
  </si>
  <si>
    <t>edtPaySecryEmail</t>
  </si>
  <si>
    <t>elePaySecryEmail</t>
  </si>
  <si>
    <t>elePayAddresslink</t>
  </si>
  <si>
    <t>elePayAddress1link</t>
  </si>
  <si>
    <t>elePayAddress2link</t>
  </si>
  <si>
    <t>789-569-4568</t>
  </si>
  <si>
    <t>edtPayFirstName</t>
  </si>
  <si>
    <t>edtPayLastName</t>
  </si>
  <si>
    <t>TestFirst</t>
  </si>
  <si>
    <t>TestLast</t>
  </si>
  <si>
    <t>elePayOK</t>
  </si>
  <si>
    <t>cfuCreateAccountOK</t>
  </si>
  <si>
    <t>elePayStandardize</t>
  </si>
  <si>
    <t>elePolicySummary_AccountNumber</t>
  </si>
  <si>
    <t>PhonePref</t>
  </si>
  <si>
    <t>HomePhone</t>
  </si>
  <si>
    <t>FaxPhone</t>
  </si>
  <si>
    <t>PrimaryEmail</t>
  </si>
  <si>
    <t>SecondaryEmail</t>
  </si>
  <si>
    <t>ContactCountry</t>
  </si>
  <si>
    <t>ContactAddress1</t>
  </si>
  <si>
    <t>ContactCity</t>
  </si>
  <si>
    <t>ContactCounty</t>
  </si>
  <si>
    <t>ContactState</t>
  </si>
  <si>
    <t>ContactZip</t>
  </si>
  <si>
    <t>TC20</t>
  </si>
  <si>
    <t>TC21</t>
  </si>
  <si>
    <t>TC22</t>
  </si>
  <si>
    <t>TC23</t>
  </si>
  <si>
    <t>11027,11026</t>
  </si>
  <si>
    <t>TC_005_006_ODS_291_Billing Contact Address Details</t>
  </si>
  <si>
    <t>294-RUD</t>
  </si>
  <si>
    <t>TC26</t>
  </si>
  <si>
    <t>TC27</t>
  </si>
  <si>
    <t>TC28</t>
  </si>
  <si>
    <t>TC29</t>
  </si>
  <si>
    <t>TC30</t>
  </si>
  <si>
    <t>Request_Date</t>
  </si>
  <si>
    <t>Requested_Date</t>
  </si>
  <si>
    <t>PrimaryContact_PhoneNumber</t>
  </si>
  <si>
    <t>PrimaryContact_FaxNumber</t>
  </si>
  <si>
    <t>PrimaryContact_Country</t>
  </si>
  <si>
    <t>PrimaryContact_County</t>
  </si>
  <si>
    <t>PrimaryContact_AddressLine</t>
  </si>
  <si>
    <t>PrimaryContact_City</t>
  </si>
  <si>
    <t>ARKADELPHIA</t>
  </si>
  <si>
    <t>PrimaryContact_State</t>
  </si>
  <si>
    <t>Arkansas</t>
  </si>
  <si>
    <t>PrimaryContact_Zip</t>
  </si>
  <si>
    <t>AlternatePayer_AddressLine</t>
  </si>
  <si>
    <t>AlternatePayer_City</t>
  </si>
  <si>
    <t>AlternatePayer_State</t>
  </si>
  <si>
    <t>AlternatePayer_Zip</t>
  </si>
  <si>
    <t>Contact Preference Changes</t>
  </si>
  <si>
    <t>eleAlternatePayerAdd</t>
  </si>
  <si>
    <t>eleExistingAlternatePayer</t>
  </si>
  <si>
    <t>eleExistingAlternateNewPerson</t>
  </si>
  <si>
    <t>elePolicyAccountNumber</t>
  </si>
  <si>
    <t>301-CP</t>
  </si>
  <si>
    <t>SearchPolicy</t>
  </si>
  <si>
    <t>PolicyChange</t>
  </si>
  <si>
    <t>melPolicy</t>
  </si>
  <si>
    <t>edtPolicyNumber</t>
  </si>
  <si>
    <t>elePolicyNumberSearch</t>
  </si>
  <si>
    <t>PolicySummary</t>
  </si>
  <si>
    <t>TestData</t>
  </si>
  <si>
    <t>TestData:::PolicyNumber:::TestData</t>
  </si>
  <si>
    <t>edtContactPhoneNumber</t>
  </si>
  <si>
    <t>eleContactFaxNumber</t>
  </si>
  <si>
    <t>edtContactFaxNumber</t>
  </si>
  <si>
    <t>edtContactPrimaryEmail</t>
  </si>
  <si>
    <t>edtContactSecondaryEmail</t>
  </si>
  <si>
    <t>eleChangePolicy</t>
  </si>
  <si>
    <t>cfuVerifyElements</t>
  </si>
  <si>
    <t>eleCPIssuePolicy</t>
  </si>
  <si>
    <t>EBC</t>
  </si>
  <si>
    <t>AlterFirst</t>
  </si>
  <si>
    <t>AlterLast</t>
  </si>
  <si>
    <t>Date Received</t>
  </si>
  <si>
    <t>lstCan_Reason</t>
  </si>
  <si>
    <t>Fraud</t>
  </si>
  <si>
    <t>lstCan_RefundMethod</t>
  </si>
  <si>
    <t>Flat</t>
  </si>
  <si>
    <t>edtCan_Reasondesc</t>
  </si>
  <si>
    <t>Test</t>
  </si>
  <si>
    <t>eleCan_StartCancel</t>
  </si>
  <si>
    <t>Can_EntryScreen</t>
  </si>
  <si>
    <t>Can_Confirmation</t>
  </si>
  <si>
    <t>bliCan_BindOption</t>
  </si>
  <si>
    <t>Cancel Now</t>
  </si>
  <si>
    <t>eleCan_PopupOK</t>
  </si>
  <si>
    <t>eleCan_PolNumclk</t>
  </si>
  <si>
    <t>148836275451064</t>
  </si>
  <si>
    <t>41WECAA5F4F</t>
  </si>
  <si>
    <t>AA5F4F</t>
  </si>
  <si>
    <t>PrimaryContact_PrimaryEmail</t>
  </si>
  <si>
    <t>PrimaryContact_SecondaryEmail</t>
  </si>
  <si>
    <t>PolicySummary_PolicyNumber1</t>
  </si>
  <si>
    <t>Policy_Eff_Date1</t>
  </si>
  <si>
    <t>Policy_ValidFrom_Date1</t>
  </si>
  <si>
    <t>TC_004_ODS_291_Lein Holder Address Details</t>
  </si>
  <si>
    <t>VerifyLienHolder</t>
  </si>
  <si>
    <t>Agency Bill</t>
  </si>
  <si>
    <t>elePayPremiumFinck</t>
  </si>
  <si>
    <t>edtPayAgreementnum</t>
  </si>
  <si>
    <t>edtPayName</t>
  </si>
  <si>
    <t>edtPayAddress</t>
  </si>
  <si>
    <t>edtPayCity</t>
  </si>
  <si>
    <t>lstPayState</t>
  </si>
  <si>
    <t>edtPayZipCode</t>
  </si>
  <si>
    <t>235689</t>
  </si>
  <si>
    <t>TestLien</t>
  </si>
  <si>
    <t>Lien_AddressLine1</t>
  </si>
  <si>
    <t>Lien_CityName</t>
  </si>
  <si>
    <t>Lien_State_Abbr</t>
  </si>
  <si>
    <t>Lien_ZIPCODE</t>
  </si>
  <si>
    <t>Pol_Eff_Date</t>
  </si>
  <si>
    <t>Valid_from_Date</t>
  </si>
  <si>
    <t>elePayName</t>
  </si>
  <si>
    <t>elePayAddress</t>
  </si>
  <si>
    <t>elePayCity</t>
  </si>
  <si>
    <t>elePayZipCode</t>
  </si>
  <si>
    <t>elePolicySummary_PolicyNumber:funpagescreenshot:::elePolicySummary_PolicyNumber:clkPolicyTran_LeftPane:clkViewPolicyTran:clkPolicyPayment_LeftPane:eleLien_AddressLine1:eleLien_CityName:eleLien_State_Abbr:eleLien_ZIPCODE:cfuReturnCurrentDate-Account_Eff_Date:cfuReturnCurrentDate-Account_ValidFrom_Date</t>
  </si>
  <si>
    <t>11022,11023,11024,11808,11809</t>
  </si>
  <si>
    <t>11025,11810</t>
  </si>
  <si>
    <t>TC_001_ODS_291_Primary Named Insured Address Details_AlternatePayer</t>
  </si>
  <si>
    <t>291,296-CP</t>
  </si>
  <si>
    <t>eleAffinityGroup_CPID:::eleAffinityGroup_AffinityName:eleAffinityGroup_CommPgmIden:funpagescreenshot:cfuReturnCurrentDate-AffinityGroup_RequestDate:eleAffinityGroup_CPID:eleAffinityGroup_Segment:eleAffinityGroup_Type:eleAffinityGroup_Organization:eleAffinityGroup_PCFirstName:eleAffinityGroup_PCLastName:eleAffinityGroup_PCPhoneNumber:eleAffinityGroup_PCEmail:eleAffinityGroup_ICFirstName:eleAffinityGroup_ICLastName:eleAffinityGroup_ICPhoneNumber:eleAffinityGroup_ICEmail:eleAffinityGroup_StartDate:eleAffinityGroup_EndDate</t>
  </si>
  <si>
    <t>:::clkAffinityGroup_Jurisdictions:funAffinityGroup_Jurisdictions:funpagescreenshot</t>
  </si>
  <si>
    <t>:::clkAffinityGroup_Products:funAffinityGroup_Products:funpagescreenshot</t>
  </si>
  <si>
    <t>clkAffinityGroup_Basics:eleAffinityGroup_CPID:::eleAffinityGroup_AffinityName:funpagescreenshot:eleAffinityGroup_CommPgmIden:cfuReturnCurrentDate-AffinityGroup_RequestDate:eleAffinityGroup_CPID:eleAffinityGroup_Segment</t>
  </si>
  <si>
    <t>select EO.EXTRNL_REF,PN.FULL_NM As AffinityGroup_CommPgmIden,EO.CUSTM_BUS_DESC as AffinityGroup_AffinityName,rppnr.EFF_FROM_DT,
rppnr.EFF_TO_DT,rppnr.VALID_FROM_DT,rppnr.VALID_TO_DT 
from $SchemaName$.EXTERNAL_ORGANISATION EO 
join $SchemaName$.RL_PLYR_PARTY_NAME_RLSP rppnr on rppnr.ROLE_PLAY_ID =EO.ROLE_PLAY_ID and rppnr.NATR_ID = 569 --Affinity Group Name
join $SchemaName$.PARTY_NAME PN on PN.PRTY_NM_ID =rppnr.PRTY_NM_ID  and PN.TYP_ID = 97 --Full Name
where EO.EXTRNL_REF='$AffinityGroup_CPID$' and EO.TYP_ID=902 and TO_CHAR(EO.EFF_TO_DT,'MM/DD/YYYY')='12/31/9999' 
and TO_CHAR(EO.VALID_TO_DT,'MM/DD/YYYY')='12/31/9999' and TO_CHAR(rppnr.EFF_TO_DT,'MM/DD/YYYY')='12/31/9999' 
and TO_CHAR(rppnr.VALID_TO_DT,'MM/DD/YYYY')='12/31/9999'</t>
  </si>
  <si>
    <t>select EO.EXTRNL_REF,PN.FULL_NM As AffinityGroup_CommPgmIden,EO.CUSTM_BUS_DESC as AffinityGroup_CommPgmIden,rppnr.EFF_FROM_DT,
rppnr.EFF_TO_DT,rppnr.VALID_FROM_DT,rppnr.VALID_TO_DT 
from $SchemaName$.EXTERNAL_ORGANISATION EO 
join $SchemaName$.RL_PLYR_PARTY_NAME_RLSP rppnr on rppnr.ROLE_PLAY_ID =EO.ROLE_PLAY_ID and rppnr.NATR_ID = 569 --Affinity Group Name
join $SchemaName$.PARTY_NAME PN on PN.PRTY_NM_ID =rppnr.PRTY_NM_ID  and PN.TYP_ID = 97 --Full Name
where EO.EXTRNL_REF='$AffinityGroup_CPID$' and EO.TYP_ID=902 and TO_CHAR(EO.EFF_TO_DT,'MM/DD/YYYY')='12/31/9999' 
and TO_CHAR(EO.VALID_TO_DT,'MM/DD/YYYY')='12/31/9999' and TO_CHAR(rppnr.EFF_TO_DT,'MM/DD/YYYY')='12/31/9999' 
and TO_CHAR(rppnr.VALID_TO_DT,'MM/DD/YYYY')='12/31/9999'</t>
  </si>
  <si>
    <t>eleAccountSummary_AccountNumber:::eleAccountSummary_AccountNumber:lstActivity_Status-All open:funAccountSummary_Activity:funpagescreenshot</t>
  </si>
  <si>
    <t>clkShellPolicySummarytab:funPolicySummary_ShellPolicyNumber:funpagescreenshot:::clkShell_AccountNumber:lstActivity_Status-All open:funAccountSummary_Activity:funpagescreenshot:cfuReturnCurrentDate-Activity_Start_Date:cfuReturnCurrentDate-Policy_Eff_Date:cfuReturnCurrentDate-Policy_Valid_From_Date</t>
  </si>
  <si>
    <t>clkShellPolicySummarytab:funPolicySummary_ShellPolicyNumber:funpagescreenshot:::funPolicySummary_Activitytbl-Automation_Activity:funpagescreenshot:cfuReturnCurrentDate-Activity_Start_Date:cfuReturnCurrentDate-Policy_Eff_Date:cfuReturnCurrentDate-Policy_Valid_From_Date:clkShell_AccountNumber:lstAccountSummary_PolTran-All:funAccountSummary_DraftsubPolicyNum:funpagescreenshot</t>
  </si>
  <si>
    <t>lstOrganisationType</t>
  </si>
  <si>
    <t>lstProductType</t>
  </si>
  <si>
    <t>lstSalesAgreementCode</t>
  </si>
  <si>
    <t>eleAddClass</t>
  </si>
  <si>
    <t>clkPolicySummary_AccountNumber:eleAccountSummary_AccountNumber:::eleAccountSummary_AccountNumber:lstActivity_Status-Closed in last 30 days:funpagescreenshot:cfuReturnCurrentDate-Account_Eff_Date:cfuReturnCurrentDate-Account_ValidFrom_Date:funAccountSummary_Activity:funpagescreenshot</t>
  </si>
  <si>
    <t>eleAccountSummary_AccountNumber:lstAccountSummary_PolTran-All:funAccountSummary_subPolicyNum:::eleAccountSummary_AccountNumber:funpagescreenshot:cfuReturnCurrentDate-Account_Eff_Date:cfuReturnCurrentDate-Policy_Eff_Date:cfuReturnCurrentDate-Account_ValidFrom_Date:cfuReturnCurrentDate-Policy_ValidFrom_Date</t>
  </si>
  <si>
    <t>TC18a</t>
  </si>
  <si>
    <t>select EO.EXTRNL_REF as CPID,PA.ADDR As Acc_Ln_1_Addr,PA.CITY_NM As Acc_City_Nm,PA.REG_CD Acc_State_Abbr,PA.POST_CD Acc_Zip_Code,PA.SUBREGION_NM As Acc_Cntry_Nm,
PA.CNTRY_CD Acc_Cntry_Cd,ccpr.EFF_FROM_DT,ccpr.EFF_TO_DT,ccpr.VALID_FROM_DT,ccpr.VALID_TO_DT 
from $SchemaName$.EXTERNAL_ORGANISATION EO 
join $SchemaName$.CONTACT_PREFERENCE CP on CP.SUBJ_ROLE_PLAY_ID =EO.ROLE_PLAY_ID and CP.TYP_ID=911
join $SchemaName$.CONTACT_CONTACT_POINT_RLSP ccpr on cp.CNTCT_ID=ccpr.CNTCT_ID and CcpR.NATR_ID=591
join $SchemaName$.POSTAL_ADDRESS PA on PA.CNTCT_PNT_ID =CCPR.CNTCT_PNT_ID and PA.TYP_ID =116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</si>
  <si>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eleAcc_CustomerVer</t>
  </si>
  <si>
    <t>select EO.EXTRNL_REF as AccNum,EA.NODE_TXT as Prim_Email_Add,ccpr.EFF_FROM_DT,ccpr.EFF_TO_DT,ccpr.VALID_FROM_DT,ccpr.VALID_TO_DT 
from $SchemaName$.EXTERNAL_ORGANISATION EO 
join $SchemaName$.CONTACT_PREFERENCE CP on CP.SUBJ_ROLE_PLAY_ID =EO.ROLE_PLAY_ID and CP.TYP_ID=911
join $SchemaName$.CONTACT_CONTACT_POINT_RLSP ccpr on cp.CNTCT_ID=ccpr.CNTCT_ID and CcpR.NATR_ID=592 --Primary email
join $SchemaName$.ELECTRONIC_ADDRESS EA on EA.CNTCT_PNT_ID =CCPR.CNTCT_PNT_ID and EA.TYP_ID =55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</si>
  <si>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AccNum,EA.NODE_TXT as Sec_Email_Add,ccpr.EFF_FROM_DT,ccpr.EFF_TO_DT,ccpr.VALID_FROM_DT,ccpr.VALID_TO_DT 
from $SchemaName$.EXTERNAL_ORGANISATION EO 
join $SchemaName$.CONTACT_PREFERENCE CP on CP.SUBJ_ROLE_PLAY_ID =EO.ROLE_PLAY_ID and CP.TYP_ID=911
join $SchemaName$.CONTACT_CONTACT_POINT_RLSP ccpr on cp.CNTCT_ID=ccpr.CNTCT_ID and CcpR.NATR_ID=593 --Secondary email
join $SchemaName$.ELECTRONIC_ADDRESS EA on EA.CNTCT_PNT_ID =CCPR.CNTCT_PNT_ID and EA.TYP_ID =55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</si>
  <si>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CPID,EA.NODE_TXT as Acc_Web_Add,ccpr.EFF_FROM_DT,ccpr.EFF_TO_DT,ccpr.VALID_FROM_DT,ccpr.VALID_TO_DT 
from $SchemaName$.EXTERNAL_ORGANISATION EO 
join $SchemaName$.CONTACT_PREFERENCE CP on CP.SUBJ_ROLE_PLAY_ID =EO.ROLE_PLAY_ID and CP.TYP_ID=911
join $SchemaName$.CONTACT_CONTACT_POINT_RLSP ccpr on cp.CNTCT_ID=ccpr.CNTCT_ID and CcpR.NATR_ID=594
join $SchemaName$.ELECTRONIC_ADDRESS EA on EA.CNTCT_PNT_ID =CCPR.CNTCT_PNT_ID and EA.TYP_ID =171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</si>
  <si>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AccNum,CcpR.NATR_ID,TN.LOCAL_NUM as Account_Telephone_Number,ccpr.EFF_FROM_DT,ccpr.EFF_TO_DT,ccpr.VALID_FROM_DT,ccpr.VALID_TO_DT 
from $SchemaName$.EXTERNAL_ORGANISATION EO 
join $SchemaName$.CONTACT_PREFERENCE CP on CP.SUBJ_ROLE_PLAY_ID =EO.ROLE_PLAY_ID and CP.TYP_ID=911
join $SchemaName$.CONTACT_CONTACT_POINT_RLSP ccpr on cp.CNTCT_ID=ccpr.CNTCT_ID and CcpR.NATR_ID=590--Phone number
join $SchemaName$.TELEPHONE_NUMBER TN on TN.CNTCT_PNT_ID =CCPR.CNTCT_PNT_ID and TN.TYP_ID =111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</si>
  <si>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AccNum,CcpR.NATR_ID,TN.LOCAL_NUM as Account_Fax_Number,ccpr.EFF_FROM_DT,ccpr.EFF_TO_DT,ccpr.VALID_FROM_DT,ccpr.VALID_TO_DT 
from $SchemaName$.EXTERNAL_ORGANISATION EO 
join $SchemaName$.CONTACT_PREFERENCE CP on CP.SUBJ_ROLE_PLAY_ID =EO.ROLE_PLAY_ID and CP.TYP_ID=911
join $SchemaName$.CONTACT_CONTACT_POINT_RLSP ccpr on cp.CNTCT_ID=ccpr.CNTCT_ID and CcpR.NATR_ID=599--fax number
join $SchemaName$.TELEPHONE_NUMBER TN on TN.CNTCT_PNT_ID =CCPR.CNTCT_PNT_ID and TN.TYP_ID =111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</si>
  <si>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Account_Identifier,PN. FIRST_NM As ACTCNTCTFIRSTNAME,PN. LAST_NM As ACTCONTCTLASTNAME,CPNR.EFF_FROM_DT,CPNR.EFF_TO_DT,
CPNR.VALID_FROM_DT,CPNR.VALID_TO_DT
FROM $SchemaName$.EXTERNAL_ORGANISATION EO
JOIN $SchemaName$.CONTACT_PREFERENCE CP ON CP.SUBJ_ROLE_PLAY_ID = EO.ROLE_PLAY_ID AND CP.TYP_ID = 910 -- Account Contact
join $SchemaName$.Contact_Party_Name_Rlsp cpnr on cpnr.CNTCT_ID=CP.CNTCT_ID and CPNR.NATR_ID=800 --Account Contact Person Name
JOIN $SchemaName$.PARTY_NAME PN ON PN.PRTY_NM_ID=cpnr.PRTY_NM_ID AND PN.TYP_ID = 110 --Person Name
WHERE EO.EXTRNL_REF = '$AccountNumber$'  AND TO_CHAR(CP.VALID_TO_DT,'MM/DD/YYYY')='12/31/9999' 
AND TO_CHAR(CP.EFF_TO_DT,'MM/DD/YYYY')='12/31/9999' AND TO_CHAR(EO.VALID_TO_DT,'MM/DD/YYYY')='12/31/9999' 
AND TO_CHAR(EO.EFF_TO_DT,'MM/DD/YYYY')='12/31/9999' AND TO_CHAR(CPNR.VALID_TO_DT,'MM/DD/YYYY')='12/31/9999' 
AND TO_CHAR(CPNR.EFF_TO_DT,'MM/DD/YYYY')='12/31/9999'</t>
  </si>
  <si>
    <t>select distinct EO.EXTRNL_REF as AccNum,PA.ADDR As ActContctLine1Addr, CcpR.NATR_ID,PA.CITY_NM As ACTCONTCTCITYNAME,PA.REG_CD As ACTCONTCTSTATEABBERIVATION,PA.POST_CD As ACTCONTCTZIPCODE,PA.SUBREGION_NM As ACTCONTCTCOUNTRYNAME,
PA.CNTRY_CD As ACTCONTCTCOUNTRYCODE,ccpr.EFF_FROM_DT,ccpr.EFF_TO_DT,ccpr.VALID_FROM_DT,ccpr.VALID_TO_DT 
from $SchemaName$.EXTERNAL_ORGANISATION EO 
join $SchemaName$.CONTACT_PREFERENCE CP on CP.SUBJ_ROLE_PLAY_ID =EO.ROLE_PLAY_ID and CP.TYP_ID=910--Account Contact
join $SchemaName$.CONTACT_CONTACT_POINT_RLSP ccpr on cp.CNTCT_ID=ccpr.CNTCT_ID and CcpR.NATR_ID=586 --Account Contact Address
join $SchemaName$.POSTAL_ADDRESS PA on PA.CNTCT_PNT_ID =CCPR.CNTCT_PNT_ID and PA.TYP_ID =116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</si>
  <si>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AccNum,EA.NODE_TXT as ACTCONTCTPRIEMAIL,ccpr.EFF_FROM_DT,ccpr.EFF_TO_DT,ccpr.VALID_FROM_DT,ccpr.VALID_TO_DT 
from $SchemaName$.EXTERNAL_ORGANISATION EO 
join $SchemaName$.CONTACT_PREFERENCE CP on CP.SUBJ_ROLE_PLAY_ID =EO.ROLE_PLAY_ID and CP.TYP_ID=911
join $SchemaName$.CONTACT_CONTACT_POINT_RLSP ccpr on cp.CNTCT_ID=ccpr.CNTCT_ID and CcpR.NATR_ID=592 --Primary email
join $SchemaName$.ELECTRONIC_ADDRESS EA on EA.CNTCT_PNT_ID =CCPR.CNTCT_PNT_ID and EA.TYP_ID =55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</si>
  <si>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AccNum,EA.NODE_TXT as ACTCONTCTSECEMAIL,ccpr.EFF_FROM_DT,ccpr.EFF_TO_DT,ccpr.VALID_FROM_DT,ccpr.VALID_TO_DT 
from $SchemaName$.EXTERNAL_ORGANISATION EO 
join $SchemaName$.CONTACT_PREFERENCE CP on CP.SUBJ_ROLE_PLAY_ID =EO.ROLE_PLAY_ID and CP.TYP_ID=911
join $SchemaName$.CONTACT_CONTACT_POINT_RLSP ccpr on cp.CNTCT_ID=ccpr.CNTCT_ID and CcpR.NATR_ID=593 --Secondary email
join $SchemaName$.ELECTRONIC_ADDRESS EA on EA.CNTCT_PNT_ID =CCPR.CNTCT_PNT_ID and EA.TYP_ID =55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</si>
  <si>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Account,CCPR.USE_DESC as ActContctPriTeleTypDesc,cp.EFF_FROM_DT,cp.EFF_TO_DT,cp.VALID_FROM_DT,cp.VALID_TO_DT
FROM $SchemaName$.EXTERNAL_ORGANISATION EO
JOIN $SchemaName$.CONTACT_PREFERENCE CP ON CP.SUBJ_ROLE_PLAY_ID = EO.ROLE_PLAY_ID AND CP.TYP_ID = 910 --Account Contact  
join $SchemaName$.CONTACT_CONTACT_POINT_RLSP ccpr on CP.CNTCT_ID=ccpr.CNTCT_ID and ccpr.NATR_ID=587 --Account Contact Phone Number
WHERE EO.EXTRNL_REF = '$AccountNumber$' AND TO_CHAR(CP.VALID_TO_DT,'MM/DD/YYYY')='12/31/9999' 
AND TO_CHAR(CP.EFF_TO_DT,'MM/DD/YYYY')='12/31/9999' AND TO_CHAR(EO.VALID_TO_DT,'MM/DD/YYYY')='12/31/9999' 
AND TO_CHAR(EO.EFF_TO_DT,'MM/DD/YYYY')='12/31/9999'AND TO_CHAR(CCPR.VALID_TO_DT,'MM/DD/YYYY')='12/31/9999' 
AND TO_CHAR(CCPR.EFF_TO_DT,'MM/DD/YYYY')='12/31/9999'</t>
  </si>
  <si>
    <t>select EO.EXTRNL_REF as AccNum,TN.LOCAL_NUM as ACTCONTACTTELEPHONUMBER,ccpr.EFF_FROM_DT,ccpr.EFF_TO_DT,ccpr.VALID_FROM_DT,ccpr.VALID_TO_DT 
from $SchemaName$.EXTERNAL_ORGANISATION EO 
join $SchemaName$.CONTACT_PREFERENCE CP on CP.SUBJ_ROLE_PLAY_ID =EO.ROLE_PLAY_ID and CP.TYP_ID=911--Owner
join $SchemaName$.CONTACT_CONTACT_POINT_RLSP ccpr on cp.CNTCT_ID=ccpr.CNTCT_ID and CcpR.NATR_ID=590--fax number
join $SchemaName$.TELEPHONE_NUMBER TN on TN.CNTCT_PNT_ID =CCPR.CNTCT_PNT_ID and TN.TYP_ID =111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</si>
  <si>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EO.EXTRNL_REF as AccNum,TN.LOCAL_NUM as ACTCONTACTACTFAXNUMBER,ccpr.EFF_FROM_DT,ccpr.EFF_TO_DT,ccpr.VALID_FROM_DT,ccpr.VALID_TO_DT 
from $SchemaName$.EXTERNAL_ORGANISATION EO 
join $SchemaName$.CONTACT_PREFERENCE CP on CP.SUBJ_ROLE_PLAY_ID =EO.ROLE_PLAY_ID and CP.TYP_ID=911--Audit contact
join $SchemaName$.CONTACT_CONTACT_POINT_RLSP ccpr on cp.CNTCT_ID=ccpr.CNTCT_ID and CcpR.NATR_ID=599--fax number
join $SchemaName$.TELEPHONE_NUMBER TN on TN.CNTCT_PNT_ID =CCPR.CNTCT_PNT_ID and TN.TYP_ID =111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</si>
  <si>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Distinct EO.EXTRNL_REF Account,CP.ACTV_IND As ACTCONTACTACTINDICATOR,cp.EFF_FROM_DT,cp.EFF_TO_DT,cp.VALID_FROM_DT,cp.VALID_TO_DT
FROM $SchemaName$.EXTERNAL_ORGANISATION EO
JOIN $SchemaName$.CONTACT_PREFERENCE CP ON CP.SUBJ_ROLE_PLAY_ID = EO.ROLE_PLAY_ID AND CP.TYP_ID = 910 
WHERE EO.EXTRNL_REF = '$AccountNumber$' and EO.TYP_ID=34 AND TO_CHAR(CP.VALID_TO_DT,'MM/DD/YYYY')='12/31/9999' 
AND TO_CHAR(CP.EFF_TO_DT,'MM/DD/YYYY')='12/31/9999' AND TO_CHAR(EO.VALID_TO_DT,'MM/DD/YYYY')='12/31/9999' 
AND TO_CHAR(EO.EFF_TO_DT,'MM/DD/YYYY')='12/31/9999'</t>
  </si>
  <si>
    <t>Contains</t>
  </si>
  <si>
    <t>Primary Contact</t>
  </si>
  <si>
    <t>SELECT distinct EO.EXTRNL_REF As Account_Id,CP.CNTCT_TYP_DESC ,ccpr.USE_DESC As ACTCONTCTADDTYPDESC,ccpr.EFF_FROM_DT,
ccpr.EFF_TO_DT,ccpr.VALID_FROM_DT,ccpr.VALID_TO_DT 
FROM $SchemaName$.EXTERNAL_ORGANISATION EO 
JOIN $SchemaName$.CONTACT_PREFERENCE CP ON CP.SUBJ_ROLE_PLAY_ID = EO.ROLE_PLAY_ID AND CP.TYP_ID = 910 --Account contact 
join $SchemaName$.CONTACT_CONTACT_POINT_RLSP ccpr on ccpr.CNTCT_ID=CP.CNTCT_ID and ccpr.NATR_ID=586 --Account Contact Address
WHERE EO.EXTRNL_REF = '$AccountNumber$' and CP.CNTCT_TYP_DESC like 'Pri%' AND TO_CHAR(CP.VALID_TO_DT,'MM/DD/YYYY')='12/31/9999' and EO.TYP_ID=34 
AND TO_CHAR(CP.EFF_TO_DT,'MM/DD/YYYY')='12/31/9999' AND TO_CHAR(EO.VALID_TO_DT,'MM/DD/YYYY')='12/31/9999' 
AND TO_CHAR(EO.EFF_TO_DT,'MM/DD/YYYY')='12/31/9999' AND TO_CHAR(CCPR.VALID_TO_DT,'MM/DD/YYYY')='12/31/9999' 
AND TO_CHAR(CCPR.EFF_TO_DT,'MM/DD/YYYY')='12/31/9999'</t>
  </si>
  <si>
    <t>TC17a</t>
  </si>
  <si>
    <t>SELECT EO.EXTRNL_REF As Account_Identifier, PN.FULL_NM As ACTDOINGBUSINESSASNAME,rppnr.EFF_FROM_DT,rppnr.EFF_TO_DT,rppnr.VALID_FROM_DT,rppnr.VALID_TO_DT
FROM $SchemaName$.EXTERNAL_ORGANISATION EO
JOIN $SchemaName$.RL_PLYR_PARTY_NAME_RLSP RPPNR ON RPPNR.ROLE_PLAY_ID = EO.ROLE_PLAY_ID AND RPPNR.NATR_ID IN (69) --Account contact DBA name
JOIN $SchemaName$.PARTY_NAME PN ON PN.PRTY_NM_ID = rppnr.PRTY_NM_ID AND PN.TYP_ID = 97 --Full name
WHERE EO.EXTRNL_REF = '$AccountNumber$'
AND TO_CHAR(EO.EFF_TO_DT,'MM/DD/YYYY')='12/31/9999' AND TO_CHAR(EO.VALID_TO_DT,'MM/DD/YYYY')='12/31/9999' 
AND TO_CHAR(RPPNR.EFF_TO_DT,'MM/DD/YYYY')='12/31/9999' AND TO_CHAR(RPPNR.VALID_TO_DT,'MM/DD/YYYY')='12/31/9999'</t>
  </si>
  <si>
    <t>SELECT EO.EXTRNL_REF As Account_Identifier, CPNR.NATR_ID as Contact_DBACode
FROM $SchemaName$.EXTERNAL_ORGANISATION EO
JOIN $SchemaName$.CONTACT_PREFERENCE CP ON CP.SUBJ_ROLE_PLAY_ID = EO.ROLE_PLAY_ID and CP.TYP_ID=910 --Account contact
JOIN $SchemaName$.Contact_Party_Name_Rlsp CPNR ON CPNR.CNTCT_ID = CP.CNTCT_ID AND CPNR.NATR_ID = 69 --Account Contact DBA name
JOIN $SchemaName$.PARTY_NAME PN ON PN.PRTY_NM_ID = CP.PREF_PRTY_NM_ID AND PN.TYP_ID = 97 --Full name
WHERE EO.EXTRNL_REF = '$AccountNumber$'
AND TO_CHAR(EO.EFF_TO_DT,'MM/DD/YYYY')='12/31/9999' AND TO_CHAR(EO.VALID_TO_DT,'MM/DD/YYYY')='12/31/9999' 
AND TO_CHAR(CP.VALID_TO_DT,'MM/DD/YYYY')='12/31/9999' AND TO_CHAR(CP.EFF_TO_DT,'MM/DD/YYYY')='12/31/9999' 
AND TO_CHAR(CPNR.VALID_TO_DT,'MM/DD/YYYY')='12/31/9999' AND TO_CHAR(CPNR.EFF_TO_DT,'MM/DD/YYYY')='12/31/9999'</t>
  </si>
  <si>
    <t>TC_ODS_R2_293_Design_Elements</t>
  </si>
  <si>
    <t>7147,7151,7866,7868,7871</t>
  </si>
  <si>
    <t>Shell_PolicyNumber</t>
  </si>
  <si>
    <t>Select ca.EXTRNL_REF As Shell_PolicyNumber,CR.TRANS_TYP_CD as AccountSummary_PolicyType, CR.EXTRNL_REF as AccountSummary_PolicyJobNumber,
CR.REQUEST_DT As Request_Date,CR.REQUEST_DT As Requested_Date, ca.EFF_FROM_DT,ca.EFF_TO_DT,ca.VALID_FROM_DT,ca.VALID_TO_DT 
from  $SchemaName$.COMMERCIAL_AGRMNT ca
join $SchemaName$.Agrmnt_request_agrmnt_rlsp arar on arar.agree_id= ca.agree_id  and arar.NATR_ID = 172 --Policy Underwriter Referral
Join $SchemaName$.agrmnt_request AR on ar.agree_rqst_id = arar.agree_rqst_id and ar.TYP_ID = 386 --Underwriter Referral
Join $SchemaName$.Change_request cr on cr.agree_rqst_id = ar.agree_rqst_id
where ca.extrnl_ref='$PolicyNumber$' and ca.TYP_ID=849 --Commercial Shell
and TO_CHAR(ca.EFF_TO_DT,'MM/DD/YYYY')='12/31/9999' and TO_CHAR(ca.VALID_TO_DT,'MM/DD/YYYY')='12/31/9999' and
TO_CHAR(arar.EFF_TO_DT,'MM/DD/YYYY')='12/31/9999' and TO_CHAR(arar.VALID_TO_DT,'MM/DD/YYYY')='12/31/9999'</t>
  </si>
  <si>
    <t>CLABORStartDate</t>
  </si>
  <si>
    <t>CLABOREndDate</t>
  </si>
  <si>
    <t>Select ca.EXTRNL_REF As Policy_num,rpr.CTRL_START_DT as CLABORStartDate,rpr.CTRL_EXPIRY_DT as CLABOREndDate,
ca.EFF_FROM_DT,ca.EFF_TO_DT,ca.VALID_FROM_DT,ca.VALID_TO_DT 
from $SchemaName$.COMMERCIAL_AGRMNT ca
join $SchemaName$.FINANCIAL_SERVICES_ROLE fsr on fsr.CNTXT_FINCL_SRVC_AGREE_ID=ca.AGREE_ID and ca.TYP_ID=849 --Commercial Shell
join $SchemaName$.RL_PLYR_RLSP rpr on rpr.LEFT_ROLE_PLAY_ID=fsr.FINCL_SRVC_ROLE_PLAY_ID and fsr.TYP_ID=248 and rpr.NATR_ID =  65  --Agency Selling Channel
Join $SchemaName$.FINANCIAL_SERVICES_ROLE fsr1 on rpr.RIGHT_ROLE_PLAY_ID=fsr1.FINCL_SRVC_ROLE_PLAY_ID and fsr1.TYP_ID = 115 --LOB Reservation
where ca.extrnl_ref='$PolicyNumber$'  and TO_CHAR(ca.EFF_TO_DT,'MM/DD/YYYY')='12/31/9999' 
and TO_CHAR(ca.VALID_TO_DT,'MM/DD/YYYY')='12/31/9999' and TO_CHAR(rpr.EFF_TO_DT,'MM/DD/YYYY')='12/31/9999' 
and TO_CHAR(rpr.VALID_TO_DT,'MM/DD/YYYY')='12/31/9999' and TO_CHAR(fsr1.EFF_TO_DT,'MM/DD/YYYY')='12/31/9999' 
and TO_CHAR(fsr1.VALID_TO_DT,'MM/DD/YYYY')='12/31/9999' and TO_CHAR(fsr.EFF_TO_DT,'MM/DD/YYYY')='12/31/9999' 
and TO_CHAR(fsr.VALID_TO_DT,'MM/DD/YYYY')='12/31/9999' and fsr1.CNTXT_FINCL_SRVC_AGREE_ID=ca.AGREE_ID</t>
  </si>
  <si>
    <t>TC_ODS_R2_294_Design_Elements</t>
  </si>
  <si>
    <t>7157,7159,7160,7873,7876</t>
  </si>
  <si>
    <t>Select ca.EXTRNL_REF As Shell_PolicyNumber,CR.TRANS_TYP_CD as AccountSummary_PolicyType, CR.EXTRNL_REF as AccountSummary_PolicyJobNumber
, CR.REQUEST_DT As Request_Date,CR.REQUEST_DT As Requested_Date, ca.EFF_FROM_DT,ca.EFF_TO_DT,ca.VALID_FROM_DT,ca.VALID_TO_DT 
from  $SchemaName$.COMMERCIAL_AGRMNT ca
join $SchemaName$.Agrmnt_request_agrmnt_rlsp arar on arar.agree_id= ca.agree_id  and arar.NATR_ID = 174 --Policy Request Underwriter Decision
Join $SchemaName$.agrmnt_request AR on ar.agree_rqst_id = arar.agree_rqst_id and ar.TYP_ID = 388 --Request Underwriter Decision
Join $SchemaName$.Change_request cr on cr.agree_rqst_id = ar.agree_rqst_id
where ca.extrnl_ref='$PolicyNumber$' and ca.TYP_ID=849 and TO_CHAR(ca.EFF_TO_DT,'MM/DD/YYYY')='12/31/9999' 
and TO_CHAR(ca.VALID_TO_DT,'MM/DD/YYYY')='12/31/9999' and TO_CHAR(arar.EFF_TO_DT,'MM/DD/YYYY')='12/31/9999' 
and TO_CHAR(arar.VALID_TO_DT,'MM/DD/YYYY')='12/31/9999'</t>
  </si>
  <si>
    <t>PolEffecDate</t>
  </si>
  <si>
    <t>eleShell_PolicyNumber:::eleShell_PolicyNumber:funACCOUNTSUMMARY_POLICYTRANSTAT:elePolEffecDate:elePolExpDate:cfuReturnCurrentDate-Policy_ValidFrom_Date:cfuReturnCurrentDate-Policy_ValidFrom_Date:eleCLABORStartDate:eleCLABOREndDate</t>
  </si>
  <si>
    <t>PolExpDate</t>
  </si>
  <si>
    <t>Select ca.EXTRNL_REF As Policy_num,ca.ENT_POL_ID as Enterprise_pol_ID,ca.START_DT As PolEffecDate,ca.END_DT As PolExpDate,
ca.VERS Quote_Ver_Num,
ca.QTE_SEQ_NUM Quote_Seq_Num,ca.EFF_FROM_DT,ca.EFF_TO_DT,ca.VALID_FROM_DT,ca.VALID_TO_DT 
from $SchemaName$.COMMERCIAL_AGRMNT ca
join $SchemaName$.Agrmnt_request_agrmnt_rlsp arar on arar.agree_id= ca.agree_id  and arar.NATR_ID = 174 --Policy Request Underwriter 
Join $SchemaName$.agrmnt_request AR on ar.agree_rqst_id = arar.agree_rqst_id and ar.TYP_ID = 388 --Request Underwriter Decision
Join $SchemaName$.Change_request cr on cr.agree_rqst_id = ar.agree_rqst_id
where ca.extrnl_ref='$PolicyNumber$' and ca.TYP_ID=849 and TO_CHAR(ca.EFF_TO_DT,'MM/DD/YYYY')='12/31/9999' 
and TO_CHAR(ca.VALID_TO_DT,'MM/DD/YYYY')='12/31/9999' and TO_CHAR(arar.EFF_TO_DT,'MM/DD/YYYY')='12/31/9999' 
and TO_CHAR(arar.VALID_TO_DT,'MM/DD/YYYY')='12/31/9999'</t>
  </si>
  <si>
    <t>7188,7191,10486,10488,10489</t>
  </si>
  <si>
    <t>TC_ODS_R2_295_Design_Elements</t>
  </si>
  <si>
    <t>295-RRI</t>
  </si>
  <si>
    <t>Select ca.EXTRNL_REF As Shell_PolicyNumber,CR.TRANS_TYP_CD as AccountSummary_PolicyType, CR.EXTRNL_REF as AccountSummary_PolicyJobNumber, 
CR.REQUEST_DT As Request_Date,CR.REQUEST_DT As Requested_Date, ca.EFF_FROM_DT,ca.EFF_TO_DT,ca.VALID_FROM_DT,ca.VALID_TO_DT 
from $SchemaName$.COMMERCIAL_AGRMNT ca
join $SchemaName$.Agrmnt_request_agrmnt_rlsp arar on arar.agree_id= ca.agree_id  and arar.NATR_ID = 173 --Policy Request LOB Reservation
Join $SchemaName$.agrmnt_request AR on ar.agree_rqst_id = arar.agree_rqst_id and ar.TYP_ID = 387 --Request LOB Reservation
Join  Change_request cr on cr.agree_rqst_id = ar.agree_rqst_id
where ca.extrnl_ref='$PolicyNumber$' and ca.TYP_ID=849 and TO_CHAR(ca.EFF_TO_DT,'MM/DD/YYYY')='12/31/9999' 
and TO_CHAR(ca.VALID_TO_DT,'MM/DD/YYYY')='12/31/9999' and TO_CHAR(arar.EFF_TO_DT,'MM/DD/YYYY')='12/31/9999' 
and TO_CHAR(arar.VALID_TO_DT,'MM/DD/YYYY')='12/31/9999'</t>
  </si>
  <si>
    <t>Select ca.EXTRNL_REF,ca.ENT_POL_ID,ca.START_DT As PolEffecDate,ca.END_DT As PolExpDate,ca.VERS Quote_Ver_Num, ca.QTE_SEQ_NUM Quote_Seq_Num,ca.EFF_FROM_DT,ca.EFF_TO_DT,ca.VALID_FROM_DT,ca.VALID_TO_DT 
from $SchemaName$.COMMERCIAL_AGRMNT ca
join $SchemaName$.Agrmnt_request_agrmnt_rlsp arar on arar.agree_id= ca.agree_id  and arar.NATR_ID = 173 --Policy Request LOB Reservation
Join $SchemaName$.agrmnt_request AR on ar.agree_rqst_id = arar.agree_rqst_id and ar.TYP_ID = 387 --Request LOB Reservation
Join  $SchemaName$.Change_request cr on cr.agree_rqst_id = ar.agree_rqst_id
where ca.extrnl_ref='$PolicyNumber$' and ca.TYP_ID=849 and 
TO_CHAR(ca.EFF_TO_DT,'MM/DD/YYYY')='12/31/9999' 
and TO_CHAR(ca.VALID_TO_DT,'MM/DD/YYYY')='12/31/9999' and
TO_CHAR(arar.EFF_TO_DT,'MM/DD/YYYY')='12/31/9999' 
and TO_CHAR(arar.VALID_TO_DT,'MM/DD/YYYY')='12/31/9999'</t>
  </si>
  <si>
    <t>Select ca.EXTRNL_REF,rpr.CTRL_START_DT as CLABORStartDate,rpr.CTRL_EXPIRY_DT as CLABOREndDate,
ca.EFF_FROM_DT,ca.EFF_TO_DT,ca.VALID_FROM_DT,ca.VALID_TO_DT 
from $SchemaName$.COMMERCIAL_AGRMNT ca
join $SchemaName$.FINANCIAL_SERVICES_ROLE fsr on fsr.CNTXT_FINCL_SRVC_AGREE_ID=ca.AGREE_ID and ca.TYP_ID=849 --Commercial Shell
join $SchemaName$.RL_PLYR_RLSP rpr on rpr.LEFT_ROLE_PLAY_ID=fsr.FINCL_SRVC_ROLE_PLAY_ID and fsr.TYP_ID=248 and rpr.NATR_ID =  65  --Agency Selling Channel
Join $SchemaName$.FINANCIAL_SERVICES_ROLE fsr1 on rpr.RIGHT_ROLE_PLAY_ID=fsr1.FINCL_SRVC_ROLE_PLAY_ID and fsr1.TYP_ID = 115 --LOB Reservation
where ca.extrnl_ref='$PolicyNumber$'  and TO_CHAR(ca.EFF_TO_DT,'MM/DD/YYYY')='12/31/9999' 
and TO_CHAR(ca.VALID_TO_DT,'MM/DD/YYYY')='12/31/9999' and TO_CHAR(rpr.EFF_TO_DT,'MM/DD/YYYY')='12/31/9999' 
and TO_CHAR(rpr.VALID_TO_DT,'MM/DD/YYYY')='12/31/9999' and TO_CHAR(fsr1.EFF_TO_DT,'MM/DD/YYYY')='12/31/9999' 
and TO_CHAR(fsr1.VALID_TO_DT,'MM/DD/YYYY')='12/31/9999' and TO_CHAR(fsr.EFF_TO_DT,'MM/DD/YYYY')='12/31/9999' 
and TO_CHAR(fsr.VALID_TO_DT,'MM/DD/YYYY')='12/31/9999' and fsr1.CNTXT_FINCL_SRVC_AGREE_ID=ca.AGREE_ID</t>
  </si>
  <si>
    <t>VerifyPCContact</t>
  </si>
  <si>
    <t>funEffectiveDate</t>
  </si>
  <si>
    <t>eleCPNext</t>
  </si>
  <si>
    <t>TC_ODS_301_Primary Named Insured Address Details_AlternatePayer</t>
  </si>
  <si>
    <t>11654,11655,11656,11658,11659</t>
  </si>
  <si>
    <t>testBillcon@thehartford.com</t>
  </si>
  <si>
    <t>testBillCont2@thehartford.com</t>
  </si>
  <si>
    <t>elePolicySummary_PolicyNumber:::elePolicySummary_PolicyNumber:funpagescreenshot:clkContacts:funpagescreenshot:funPOLICY_SELECTCONTACT-Billing Contact:elePhonePref:eleHomePhone:eleFaxPhone:elePrimaryEmail:eleSecondaryEmail:clkAccountSummary_LeftPane</t>
  </si>
  <si>
    <t>eleShell_PolicyNumber:::eleShell_PolicyNumber:funpagescreenshot:funACCOUNTSUMMARY_POLICYTRANSTAT:elePolEffecDate:elePolExpDate:cfuReturnCurrentDate-Policy_ValidFrom_Date:cfuReturnCurrentDate-Policy_ValidFrom_Date:eleCLABORStartDate:eleCLABOREndDate</t>
  </si>
  <si>
    <t>PCOfficePhone</t>
  </si>
  <si>
    <t>PCFaxPhone</t>
  </si>
  <si>
    <t>PCPrimaryEmail</t>
  </si>
  <si>
    <t>PCSecondaryEmail</t>
  </si>
  <si>
    <t>:::clkContacts:funpagescreenshot:funPOLICY_SELECTCONTACT-Primary Named Insured:elePCOfficePhone:elePCFaxPhone:elePCPrimaryEmail:elePCSecondaryEmail:funpagescreenshot:clkAccountSummary_LeftPane:clkPolicySummary_AccountNumber:funpagescreenshot:clkEdtButton:eleAccount_Country:eleAccount_Address1:eleAccount_City:eleAccount_County:eleAccount_State:eleAccount_ZipCode:clkEditUpdate:cfuReturnCurrentDate-Account_Eff_Date:cfuReturnCurrentDate-Account_ValidFrom_Date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</si>
  <si>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</si>
  <si>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</si>
  <si>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</si>
  <si>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</si>
  <si>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</si>
  <si>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</si>
  <si>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</si>
  <si>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</si>
  <si>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Component25</t>
  </si>
  <si>
    <t>11657</t>
  </si>
  <si>
    <t>TC_004_ODS_301_Lein Holder Address Details</t>
  </si>
  <si>
    <t>VerifyPCContact_Lien</t>
  </si>
  <si>
    <t>eleAccountSummary_LeftPane</t>
  </si>
  <si>
    <t>11813,11811</t>
  </si>
  <si>
    <t>TC_298_Primary Named Insured Address Details_1</t>
  </si>
  <si>
    <t>298-CP</t>
  </si>
  <si>
    <t>CancelPolicy</t>
  </si>
  <si>
    <t>VerifyCANContact</t>
  </si>
  <si>
    <t>eleSORCancelPolicy</t>
  </si>
  <si>
    <t>TestAutomationComm_28</t>
  </si>
  <si>
    <t>TestAutomationGrp_28</t>
  </si>
  <si>
    <t>X146</t>
  </si>
  <si>
    <t>bliBusinessGrouping</t>
  </si>
  <si>
    <t>:::melAdministration:clkBusinessSettings:clkLastPageArrow:funActivityPatternClick:eleAP_Code:funAP_SegmentCode:eleAP_Pattern:eleAP_EscalationDays:eleAP_EscalationHours:eleAP_EscalationStartDate:funpagescreenshot:eleAP_EscalationIncludeDays:eleAP_TargetDays:eleAP_TargetHours:funpagescreenshot:eleAP_TargetIncludedays:eleAP_TargetStartpoint:funAP_BUSINESSSEGMENT:eleAP_ActiveClass:eleAP_AutomatedOnly:eleAP_Mandatory:eleAP_Type:eleAP_Category:eleAP_Priority:eleAP_Recurring:eleAP_Subject</t>
  </si>
  <si>
    <t>clkAccountSummary_LeftPane:eleAccountSummary_AccountNumber:::eleAccountSummary_AccountNumber:funpagescreenshot:eleAccountName:clkContacts:funACCOUNT_CONTACTSDBATAB:funpagescreenshot</t>
  </si>
  <si>
    <t>41WECAA5FMH</t>
  </si>
  <si>
    <t>TC13a</t>
  </si>
  <si>
    <t>46WECAA5FMM</t>
  </si>
  <si>
    <t>46WECAA5FMN</t>
  </si>
  <si>
    <t>lstCan_Source</t>
  </si>
  <si>
    <t>Carrier</t>
  </si>
  <si>
    <t>lstCan_Subsource</t>
  </si>
  <si>
    <t>funCancelationQuestions</t>
  </si>
  <si>
    <t>Has the Oden Notice been completed?:::true</t>
  </si>
  <si>
    <t>elePolicySummary_PolicyNumber:funpagescreenshot:::elePolicySummary_PolicyNumber:clkContacts:funpagescreenshot:funPOLICY_SELECTCONTACT-Primary Named Insured:elePCOfficePhone:elePCFaxPhone:elePCPrimaryEmail:elePCSecondaryEmail:funpagescreenshot:clkAccountSummary_LeftPane:clkPolicySummary_AccountNumber:funpagescreenshot:clkEdtButton:eleAccount_Country:eleAccount_Address1:edtAcount_OfficePhone:eleAccount_City:eleAccount_County:eleAccount_State:eleAccount_ZipCode:clkEditUpdate:cfuReturnCurrentDate-Account_Eff_Date:cfuReturnCurrentDate-Account_ValidFrom_Date</t>
  </si>
  <si>
    <t>TC_003_ODS_298_Lein Holder Address Details</t>
  </si>
  <si>
    <t>VerifyCANLienContact</t>
  </si>
  <si>
    <t>TC31</t>
  </si>
  <si>
    <t>TC32</t>
  </si>
  <si>
    <t>TC33</t>
  </si>
  <si>
    <t>elePolicySummary_PolicyNumber:funpagescreenshot:::elePolicySummary_PolicyNumber:clkPolicyTran_LeftPane:funTRANTYPE_SELECT-Submission:clkViewPolicyTran:clkPolicyPayment_LeftPane:eleLien_AddressLine1:eleLien_CityName:eleLien_State_Abbr:eleLien_ZIPCODE:cfuReturnCurrentDate-Account_Eff_Date:cfuReturnCurrentDate-Account_ValidFrom_Date</t>
  </si>
  <si>
    <t>11814,11815,11816</t>
  </si>
  <si>
    <t>TC_1_2_3_ODS_299_Alternate Payer Address Details</t>
  </si>
  <si>
    <t>299-CP</t>
  </si>
  <si>
    <t>VerifyReinContact</t>
  </si>
  <si>
    <t>ReinstatePolicy</t>
  </si>
  <si>
    <t>eleSORReinstate</t>
  </si>
  <si>
    <t>lstRein_Reason</t>
  </si>
  <si>
    <t>Other</t>
  </si>
  <si>
    <t>edtReason_Desc</t>
  </si>
  <si>
    <t>funReinstateQuestions</t>
  </si>
  <si>
    <t>Are there any losses on or after the Reinstatement Effective Date?:::true</t>
  </si>
  <si>
    <t>Has the Underwriter already approved the Reinstatement?:::true</t>
  </si>
  <si>
    <t>eleRein_Quote</t>
  </si>
  <si>
    <t>Rein_Quotettl</t>
  </si>
  <si>
    <t>eleRein_Policy</t>
  </si>
  <si>
    <t>eleclkPolicyNumber</t>
  </si>
  <si>
    <t>307-CP</t>
  </si>
  <si>
    <t>TC_1_2_ODS_307_Primary Named Insured Address Details_2</t>
  </si>
  <si>
    <t>11818,11819</t>
  </si>
  <si>
    <t>VerifyCANRewriteContact</t>
  </si>
  <si>
    <t>eljCan_Validate</t>
  </si>
  <si>
    <t>RewritePolicySOR</t>
  </si>
  <si>
    <t>eleSORRewritePolicy</t>
  </si>
  <si>
    <t>lstRewriteAs</t>
  </si>
  <si>
    <t>New Business</t>
  </si>
  <si>
    <t>lstRewrite_Subsource</t>
  </si>
  <si>
    <t>E-Mail</t>
  </si>
  <si>
    <t>eleRewriteQuote</t>
  </si>
  <si>
    <t>RewriteQuotettl</t>
  </si>
  <si>
    <t>eleRewriteIssue</t>
  </si>
  <si>
    <t>elePolicySummary_PolicyNumber:funpagescreenshot:::elePolicySummary_PolicyNumber:clkContacts:funpagescreenshot:funPOLICY_SELECTCONTACT-Primary Named Insured:elePCOfficePhone:elePCFaxPhone:elePCPrimaryEmail:elePCSecondaryEmail:funpagescreenshot:clkAccountSummary_LeftPane:clkPolicySummary_AccountNumber:funpagescreenshot:clkEdtButton:eleAccount_Country:eleAccount_Address1:eleAccount_City:eleAccount_County:eleAccount_State:eleAccount_ZipCode:edtPCOfficePhone:clkEditUpdate:cfuReturnCurrentDate-Account_Eff_Date:cfuReturnCurrentDate-Account_ValidFrom_Date</t>
  </si>
  <si>
    <t>TC_003_ODS_307_Lein Holder Address Details</t>
  </si>
  <si>
    <t>TC34</t>
  </si>
  <si>
    <t>VerifyCANRewriteLienContact</t>
  </si>
  <si>
    <t>TC_02_R2_ODS_AMP_Reserve_Policy_And Save_Draft</t>
  </si>
  <si>
    <t>TC_03_R2_ODS_AMP_Policy_Shell_Quote</t>
  </si>
  <si>
    <t>TC_04_R2_ODS_AMP_Policy_Shell_Quote_Presented_Check</t>
  </si>
  <si>
    <t>TC_05_R2_ODS_AMP_Policy_Shell_Quote_Successful _Check</t>
  </si>
  <si>
    <t>TC35</t>
  </si>
  <si>
    <t>TC36</t>
  </si>
  <si>
    <t>TC37</t>
  </si>
  <si>
    <t>TC38</t>
  </si>
  <si>
    <t>TC39</t>
  </si>
  <si>
    <t>TC40</t>
  </si>
  <si>
    <t>TC41</t>
  </si>
  <si>
    <t>TC42</t>
  </si>
  <si>
    <t>TC43</t>
  </si>
  <si>
    <t>TC44</t>
  </si>
  <si>
    <t>TC45</t>
  </si>
  <si>
    <t>Verify458Service1</t>
  </si>
  <si>
    <t>Verify458Service2</t>
  </si>
  <si>
    <t>Verify458Service3</t>
  </si>
  <si>
    <t>Verify458Service4</t>
  </si>
  <si>
    <t>Alternative Market</t>
  </si>
  <si>
    <t>AMP Commercial Auto:::Shell</t>
  </si>
  <si>
    <t>AMP Bond:::Shell</t>
  </si>
  <si>
    <t>KDA</t>
  </si>
  <si>
    <t>Insured Only</t>
  </si>
  <si>
    <t>452136911</t>
  </si>
  <si>
    <t>45-6987412</t>
  </si>
  <si>
    <t>CPL</t>
  </si>
  <si>
    <t>125</t>
  </si>
  <si>
    <t>2016</t>
  </si>
  <si>
    <t>8956311444</t>
  </si>
  <si>
    <t>NPFirst</t>
  </si>
  <si>
    <t>NPLast</t>
  </si>
  <si>
    <t>Quote Presented</t>
  </si>
  <si>
    <t>Quote Successful</t>
  </si>
  <si>
    <t>funLOBDetailsTable</t>
  </si>
  <si>
    <t>eleBillingCompany</t>
  </si>
  <si>
    <t>eleBillingCompanySearch</t>
  </si>
  <si>
    <t>eleBillingCompanySelect</t>
  </si>
  <si>
    <t>lstCommunicationType</t>
  </si>
  <si>
    <t>lstCLAPIOrganizationType</t>
  </si>
  <si>
    <t>lstPolicyInfo_SubmissionSource</t>
  </si>
  <si>
    <t>edtBORCtrlStartDate</t>
  </si>
  <si>
    <t>edtBORCtrlEndDate</t>
  </si>
  <si>
    <t>edtAARPNumber</t>
  </si>
  <si>
    <t>edtFEINCode</t>
  </si>
  <si>
    <t>eleIndustryCodeSearchIcon</t>
  </si>
  <si>
    <t>eleInSearchButton</t>
  </si>
  <si>
    <t>eleInSelect</t>
  </si>
  <si>
    <t>eleNAICSSearch</t>
  </si>
  <si>
    <t>lstAffinityGroupName</t>
  </si>
  <si>
    <t>lstIndustryType</t>
  </si>
  <si>
    <t>edtPolicyInfo_MSI</t>
  </si>
  <si>
    <t>edtYearBusinessStarted</t>
  </si>
  <si>
    <t>edtNPNNumber</t>
  </si>
  <si>
    <t>edtNPNFirstName</t>
  </si>
  <si>
    <t>edtNPNLastName</t>
  </si>
  <si>
    <t>edtNPNMiddleInitial</t>
  </si>
  <si>
    <t>edtOtherPolicyNumber</t>
  </si>
  <si>
    <t>eleNonHartfordClaim</t>
  </si>
  <si>
    <t>bliCLABindOption</t>
  </si>
  <si>
    <t>eleCLAAlertOk</t>
  </si>
  <si>
    <t>PolicyInfo_PolicyNumber</t>
  </si>
  <si>
    <t>CLAEffDate</t>
  </si>
  <si>
    <t>CLAExpDate</t>
  </si>
  <si>
    <t>PolicyInfo_RO</t>
  </si>
  <si>
    <t>CLAPolicySymbol</t>
  </si>
  <si>
    <t>QuotePre</t>
  </si>
  <si>
    <t>QuotePresentedInd</t>
  </si>
  <si>
    <t>TC46</t>
  </si>
  <si>
    <t>TC47</t>
  </si>
  <si>
    <t>TC48</t>
  </si>
  <si>
    <t>TC49</t>
  </si>
  <si>
    <t>TC50</t>
  </si>
  <si>
    <t>TC_06_R2_ODS_AMP_Policy_Shell_Issue</t>
  </si>
  <si>
    <t>Verify458Service5</t>
  </si>
  <si>
    <t>eleRiskAnalysispage</t>
  </si>
  <si>
    <t>eleRA_Edit</t>
  </si>
  <si>
    <t>lstRA_BestIndex</t>
  </si>
  <si>
    <t>lstRA_ComplexityScore</t>
  </si>
  <si>
    <t>eleRA_Update</t>
  </si>
  <si>
    <t>New</t>
  </si>
  <si>
    <t>100</t>
  </si>
  <si>
    <t>20</t>
  </si>
  <si>
    <t>10</t>
  </si>
  <si>
    <t>03/15/2015</t>
  </si>
  <si>
    <t>41KDAZV9360</t>
  </si>
  <si>
    <t>lsjPayment_BillingMethod</t>
  </si>
  <si>
    <t>lsjPayment_BillingNumber</t>
  </si>
  <si>
    <t>lstPayment_FinalAudit</t>
  </si>
  <si>
    <t>edtPayment_PolicyFee</t>
  </si>
  <si>
    <t>elePayment_FilingFee</t>
  </si>
  <si>
    <t>edtPayment_FilingFee</t>
  </si>
  <si>
    <t>elePayment_InspectionFee</t>
  </si>
  <si>
    <t>edtPayment_InspectionFee</t>
  </si>
  <si>
    <t>elePayment_StampingFee</t>
  </si>
  <si>
    <t>edtPayment_StampingFee</t>
  </si>
  <si>
    <t>elePayment_PolicyTax</t>
  </si>
  <si>
    <t>edtPayment_PolicyTax</t>
  </si>
  <si>
    <t>elePayment_AMPFee</t>
  </si>
  <si>
    <t>edtPayment_AMPFee</t>
  </si>
  <si>
    <t>elePayment_WCAssessment</t>
  </si>
  <si>
    <t>edtPayment_WCAssessment</t>
  </si>
  <si>
    <t>elePayment_WCExpenseConstant</t>
  </si>
  <si>
    <t>edtPayment_WCExpenseConstant</t>
  </si>
  <si>
    <t>elePayment_TotalPremium</t>
  </si>
  <si>
    <t>edtPayment_TotalPremium</t>
  </si>
  <si>
    <t>elePayment_MailProducer</t>
  </si>
  <si>
    <t>edtPayment_GrossCommission</t>
  </si>
  <si>
    <t>edtPayment_RetailAgentCommission</t>
  </si>
  <si>
    <t>edtPayment_AnniversaryDate</t>
  </si>
  <si>
    <t>FAILED</t>
  </si>
  <si>
    <t>PASSED</t>
  </si>
  <si>
    <t>46WECAA5FPS</t>
  </si>
  <si>
    <t>46WECAA5FPU</t>
  </si>
  <si>
    <t>select EO.EXTRNL_REF as Enterprise_Acc_ID, otr.EXTRNL_REF as Account_FEIN,rprr.EFF_FROM_DT,rprr.EFF_TO_DT,rprr.VALID_FROM_DT,rprr.VALID_TO_DT
from $SchemaName$.EXTERNAL_ORGANISATION EO 
join $SchemaName$.RL_PLYR_REGISTRATION_RLSP rprr on rprr.ROLE_PLAY_ID= eo.ROLE_PLAY_ID and rprr.NATR_ID = 35
join $SchemaName$.OTHER_REGISTRATION otr on otr.REG_ID=rprr.REG_ID and otr.TYP_ID = 74 --IncomeTax
where eo.extrnl_ref='$AccountNumber$' and 
TO_CHAR(rprr.EFF_TO_DT,'MM/DD/YYYY')='12/31/9999' and TO_CHAR(rprr.VALID_TO_DT,'MM/DD/YYYY')='12/31/9999' and 
TO_CHAR(eo.EFF_TO_DT,'MM/DD/YYYY')='12/31/9999' and TO_CHAR(eo.VALID_TO_DT,'MM/DD/YYYY')='12/31/9999'</t>
  </si>
  <si>
    <t>CLAIssuePolStatusAssert</t>
  </si>
  <si>
    <t>2017</t>
  </si>
  <si>
    <t>eleSICSearch</t>
  </si>
  <si>
    <t>Review and Approve</t>
  </si>
  <si>
    <t>clkShellPolicySummarytab:funPolicySummary_ShellPolicyNumber:funpagescreenshot:::funPolicySummary_Activitytbl-Review and Approve:funpagescreenshot:cfuReturnCurrentDate-Activity_Start_Date:cfuReturnCurrentDate-Policy_Eff_Date:cfuReturnCurrentDate-Policy_Valid_From_Date:clkShell_AccountNumber:lstAccountSummary_PolTran-All:funAccountSummary_DraftsubPolicyNum</t>
  </si>
  <si>
    <t xml:space="preserve">select distinct ca.EXTRNL_REF As policy_number,ctg.EXTRNL_REF As AP_ActiveClass,ctg.EFF_FROM_DT, ctg.EFF_TO_DT, ctg.VALID_FROM_DT, ctg.VALID_TO_DT 
from $SchemaName$.COMMERCIAL_AGRMNT ca 
join $SchemaName$.FINANCIAL_SERVICES_ROLE fsr on ca.agree_id = FSR.CNTXT_FINCL_SRVC_AGREE_ID 
join $SchemaName$.RL_PLYR_RLSP  rpr on fsr.fincl_srvc_role_play_id=rpr.RIGHT_ROLE_PLAY_ID  
join $SchemaName$.VIRTUAL_PARTY vp on rpr.LEFT_ROLE_PLAY_ID = vp.ROLE_PLAY_ID and vp.TYP_ID = 153 --Software Administration System
join $SchemaName$.AGREEMENT ag on ag.AGREE_ID=ca.AGREE_ID and ca.TYP_ID = 849--Commercial Shell
join $SchemaName$.ACTIVITY_AGRMNT_RLSP aar on aar.agree_id=ag.agree_id and aar.NATR_ID=566 --Underwriting Commercial Policy
join $SchemaName$.ACTIVITY act on act.ACTV_ID = aar.ACTV_ID and act.TYP_ID = 404 --Underwriting
join $SchemaName$.ACTIVITY_CATEGORY_RLSP acr on acr.ACTV_ID = acr.ACTV_ID and acr.NATR_ID = 224 --Underwriting Activity Classification
join $SchemaName$.CATEGORY ctg on ctg.CATGY_ID = acr.CATGY_ID and ctg.TYP_ID = 405 --Activity Classification
where  ca.extrnl_ref='$PolicyNumber$' </t>
  </si>
  <si>
    <t>UU</t>
  </si>
  <si>
    <t>CLAManualPolTypeAssert</t>
  </si>
  <si>
    <t>eleAccountSummary_AccountNumber:lsjAccountSummary_PolTran-All:funAccountSummary_subPolicyNum:::eleAccountSummary_AccountNumber:cfuReturnCurrentDate-Account_Eff_Date:cfuReturnCurrentDate-Policy_Eff_Date:cfuReturnCurrentDate-Account_ValidFrom_Date:cfuReturnCurrentDate-Policy_ValidFrom_Date:funpagescreenshot:funAccountSummary_Activity:funpagescreenshot:clkContacts:funpagescreenshot:funContacttbl:eleContacts_Name:funAddress</t>
  </si>
  <si>
    <t>TestAutomationComm_29</t>
  </si>
  <si>
    <t>TestAutomationComm_28_upd</t>
  </si>
  <si>
    <t>TestAutomationGrp_29</t>
  </si>
  <si>
    <t>TestAutomationGrp_28_upd</t>
  </si>
  <si>
    <t>X147</t>
  </si>
  <si>
    <t>03/27/2017</t>
  </si>
  <si>
    <t>Rajkumar</t>
  </si>
  <si>
    <t>Ganesan</t>
  </si>
  <si>
    <t>999-999-9999</t>
  </si>
  <si>
    <t>TESTFIRSTNAME.TESTLASTNAME@THEHARTFORD.COM</t>
  </si>
  <si>
    <t>03/27/2018</t>
  </si>
  <si>
    <t>Connecticut</t>
  </si>
  <si>
    <t>Workers Compensation</t>
  </si>
  <si>
    <t>46508901</t>
  </si>
  <si>
    <t>2017-03-27 03:10:42</t>
  </si>
  <si>
    <t>PASS</t>
  </si>
  <si>
    <t>2017-03-27 00:00:00</t>
  </si>
  <si>
    <t>2018-03-27 00:00:00</t>
  </si>
  <si>
    <t>specialtyProgram</t>
  </si>
  <si>
    <t>CT</t>
  </si>
  <si>
    <t>2035698956</t>
  </si>
  <si>
    <t>9999999999</t>
  </si>
  <si>
    <t>WC7WorkersComp</t>
  </si>
  <si>
    <t>California</t>
  </si>
  <si>
    <t>12129991</t>
  </si>
  <si>
    <t>2017-03-27 03:18:22</t>
  </si>
  <si>
    <t>captiveService</t>
  </si>
  <si>
    <t>CA</t>
  </si>
  <si>
    <t>HIGCOMPROP</t>
  </si>
  <si>
    <t>FAIL</t>
  </si>
  <si>
    <t>Follow Up</t>
  </si>
  <si>
    <t>Open</t>
  </si>
  <si>
    <t>Risk has UW Issues which require analysis</t>
  </si>
  <si>
    <t>open</t>
  </si>
  <si>
    <t>46AB VT1852</t>
  </si>
  <si>
    <t>04/03/2017</t>
  </si>
  <si>
    <t>Bound</t>
  </si>
  <si>
    <t>00000020523</t>
  </si>
  <si>
    <t>5</t>
  </si>
  <si>
    <t>4</t>
  </si>
  <si>
    <t>6</t>
  </si>
  <si>
    <t>Payroll Billing</t>
  </si>
  <si>
    <t>Track 1</t>
  </si>
  <si>
    <t>Task</t>
  </si>
  <si>
    <t>No</t>
  </si>
  <si>
    <t>453115981845282</t>
  </si>
  <si>
    <t>1234567890</t>
  </si>
  <si>
    <t>United States</t>
  </si>
  <si>
    <t>FRANKLIN</t>
  </si>
  <si>
    <t>policycenter</t>
  </si>
  <si>
    <t>2017-03-27 05:50:19</t>
  </si>
  <si>
    <t>llc</t>
  </si>
  <si>
    <t>OH</t>
  </si>
  <si>
    <t>US</t>
  </si>
  <si>
    <t>5695682356</t>
  </si>
  <si>
    <t>8965697845</t>
  </si>
  <si>
    <t>clkAccountSummary_LeftPane:eleAccountSummary_AccountNumber:funpagescreenshot:::cfuReturnCurrentDate-Account_Eff_Date:cfuReturnCurrentDate-Account_ValidFrom_Date:eleAccountSummary_AccountNumber:funpagescreenshot:clkEdtButton:edtAccount_AIFNum:edtAccount_AllianceNum:edtAccount_FEIN:edtAcount_OfficePhone:edtAccount_Fax:funpagescreenshot:edtAccount_SecondaryMail:edtAccount_PrimaryMail:edtAccount_AccountName:edtAccount_Website:funpagescreenshot:edtAccount_Country:edtAccount_Address1:edtAccount_City:edtAccount_County:edtAccount_State:edtAccount_ZipCode:edtAccount_OrganizationType:clkEditUpdate:eleAccount_AddressType:funpagescreenshot:eleAccount_ExperianKey:funAccountSummary_System</t>
  </si>
  <si>
    <t>Mailing</t>
  </si>
  <si>
    <t>Work Phone</t>
  </si>
  <si>
    <t>Y</t>
  </si>
  <si>
    <t>clkAccountSummary_LeftPane:eleAccountSummary_AccountNumber:::eleAccountSummary_AccountNumber:funpagescreenshot:clkEdtButton:edtAcount_OfficePhone:edtAccount_Fax:edtAccount_SecondaryMail:edtAccount_PrimaryMail:edtAccount_Country:edtAccount_Address1:edtAccount_City:edtAccount_County:edtAccount_State:edtAccount_ZipCode:clkEditUpdate:eleAccount_AddressType:clkContacts:funACCOUNT_PRIMARYCONTACT:funpagescreenshot</t>
  </si>
  <si>
    <t>Submission</t>
  </si>
  <si>
    <t>246 BUCKLAND HILLS DR</t>
  </si>
  <si>
    <t>MANCHESTER</t>
  </si>
  <si>
    <t>570362804380131</t>
  </si>
  <si>
    <t>46UU VT7485</t>
  </si>
  <si>
    <t>PSSubmission_Ext</t>
  </si>
  <si>
    <t>Draft</t>
  </si>
  <si>
    <t>41KDAZV9369</t>
  </si>
  <si>
    <t>TC_02_R2_ODS_Manual_Reserve_Policy_And Save_Draft</t>
  </si>
  <si>
    <t>TC_03_R2_ODS_Manual_Policy_Shell_Quote</t>
  </si>
  <si>
    <t>TC_04_R2_ODS_Manual_Policy_Shell_Quote_Presented_Check</t>
  </si>
  <si>
    <t>TC_05_R2_ODS_Manual_Policy_Shell_Quote_Successful _Check</t>
  </si>
  <si>
    <t>TC_06_R2_ODS_Manual_Policy_Shell_Issue</t>
  </si>
  <si>
    <t>PS-AMP-458</t>
  </si>
  <si>
    <t>PS-Manual-458</t>
  </si>
  <si>
    <t>TC51</t>
  </si>
  <si>
    <t>Verify458Service6</t>
  </si>
  <si>
    <t>Verify458Service7</t>
  </si>
  <si>
    <t>Verify458Service8</t>
  </si>
  <si>
    <t>Verify458Service9</t>
  </si>
  <si>
    <t>Verify458Service10</t>
  </si>
  <si>
    <t>46UU ZT4964</t>
  </si>
  <si>
    <t>46UU ZT4965</t>
  </si>
  <si>
    <t>149070881699775</t>
  </si>
  <si>
    <t>149070889111068</t>
  </si>
  <si>
    <t>41UU ZV9059</t>
  </si>
  <si>
    <t>2017-03-28 09:46:58</t>
  </si>
  <si>
    <t>select EO.EXTRNL_REF as ACCOUNTSUMMARY_ACCOUNTNUMBER1,PA.ADDR As ACCOUNT_ADDRESS1,PA.CITY_NM As ACCOUNT_CITY,
PA.REG_CD As State_Abbv,PA.POST_CD As ZIP_CODE,PA.SUBREGION_NM As ActContctCountryName,PA.CNTRY_CD As Country_Cd,ccpr.EFF_FROM_DT,ccpr.EFF_TO_DT,
ccpr.VALID_FROM_DT,ccpr.VALID_TO_DT 
from $SchemaName$.EXTERNAL_ORGANISATION EO
join $SchemaName$.CONTACT_PREFERENCE CP on CP.SUBJ_ROLE_PLAY_ID =EO.ROLE_PLAY_ID and CP.TYP_ID=910
join $SchemaName$.CONTACT_CONTACT_POINT_RLSP ccpr on cp.CNTCT_ID=ccpr.CNTCT_ID and CcpR.NATR_ID=586
join $SchemaName$.POSTAL_ADDRESS PA on PA.CNTCT_PNT_ID =CCPR.CNTCT_PNT_ID and PA.TYP_ID =116
where EO.EXTRNL_REF='$AccountNumber$' and EO.TYP_ID=34 and TO_CHAR(EO.EFF_TO_DT,'MM/DD/YYYY')='12/31/9999' 
and TO_CHAR(EO.VALID_TO_DT,'MM/DD/YYYY')='12/31/9999'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</si>
  <si>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03/29/2017</t>
  </si>
  <si>
    <t>41UU ZV9061</t>
  </si>
  <si>
    <t>252684284762001</t>
  </si>
  <si>
    <t>102346849206668</t>
  </si>
  <si>
    <t>46UU VT7489</t>
  </si>
  <si>
    <t>46UU VT7490</t>
  </si>
  <si>
    <t>826954284196932</t>
  </si>
  <si>
    <t>349942798164499</t>
  </si>
  <si>
    <t>41UU PY5528</t>
  </si>
  <si>
    <t>2017-03-29 10:09:07</t>
  </si>
  <si>
    <t>106863188388432</t>
  </si>
  <si>
    <t>03/31/2017</t>
  </si>
  <si>
    <t>46AB WJ0932</t>
  </si>
  <si>
    <t>4691BN</t>
  </si>
  <si>
    <t>ShellPolicySummary</t>
  </si>
  <si>
    <t>01SBM4691BN</t>
  </si>
  <si>
    <t>03/31/2017 05:43:12 AM</t>
  </si>
  <si>
    <t>12/31/4710 12:00:00 AM</t>
  </si>
  <si>
    <t>00000020921</t>
  </si>
  <si>
    <t>20921</t>
  </si>
  <si>
    <t>2017-03-31 05:43:12.821</t>
  </si>
  <si>
    <t>2017-03-31 00:00:00</t>
  </si>
  <si>
    <t>4710-12-31 00:00:00</t>
  </si>
  <si>
    <t>Datetime</t>
  </si>
  <si>
    <t>eleShell_PolicyNumber:::eleShell_PolicyNumber:funpagescreenshot:clkCLAPolicyInfoQuickLaunch:funpagescreenshot:eleCLABORStartDate:eleCLABOREndDate:clkAccountSummary_LeftPane:clkShell_AccountNumber:funpagescreenshot:funACCOUNTSUMMARY_POLICYTRANSTAT-Quoted:cfuReturnCurrentDate-Policy_ValidFrom_Date:cfuReturnCurrentDate-Policy_ValidFrom_Date</t>
  </si>
  <si>
    <t>TestCaseGroup</t>
  </si>
  <si>
    <t>Group1</t>
  </si>
  <si>
    <t>Group2</t>
  </si>
  <si>
    <t>Group3</t>
  </si>
  <si>
    <t>Group4</t>
  </si>
  <si>
    <t>Group5</t>
  </si>
  <si>
    <t>Group6</t>
  </si>
  <si>
    <t>Group7</t>
  </si>
  <si>
    <t>Group8</t>
  </si>
  <si>
    <t>Group9</t>
  </si>
  <si>
    <t>Group10</t>
  </si>
  <si>
    <t>Group11</t>
  </si>
  <si>
    <t>Group12</t>
  </si>
  <si>
    <t>Group13</t>
  </si>
  <si>
    <t>Group14</t>
  </si>
  <si>
    <t>Group15</t>
  </si>
  <si>
    <t>lstPayment_BillingMethod</t>
  </si>
  <si>
    <t>lstPayment_BillingNumber</t>
  </si>
  <si>
    <t>lstPayment_InstallmentPlan</t>
  </si>
  <si>
    <t>elePayment_Update</t>
  </si>
  <si>
    <t>bliCLAPayBindOption</t>
  </si>
  <si>
    <t>eleCLAPolicyInfoQuickLaunch</t>
  </si>
  <si>
    <t>CLATitlePolicyInfo</t>
  </si>
  <si>
    <t>TestCaseType</t>
  </si>
  <si>
    <t>funCLAPolicyNumber</t>
  </si>
  <si>
    <t>46AB WJ0975</t>
  </si>
  <si>
    <t>815605380935637</t>
  </si>
  <si>
    <t>46AB WJ0976</t>
  </si>
  <si>
    <t>398524068988267</t>
  </si>
  <si>
    <t>854048458124082</t>
  </si>
  <si>
    <t>298688197217680</t>
  </si>
  <si>
    <t>149139963131860</t>
  </si>
  <si>
    <t>46AB WJ0867</t>
  </si>
  <si>
    <t>CLAPayment</t>
  </si>
  <si>
    <t>eleCLAPayment</t>
  </si>
  <si>
    <t>149242179415235</t>
  </si>
  <si>
    <t>41UU ZV9067</t>
  </si>
  <si>
    <t>ZV9067</t>
  </si>
  <si>
    <t>41</t>
  </si>
  <si>
    <t>00000042848</t>
  </si>
  <si>
    <t>Policy_Identifier</t>
  </si>
  <si>
    <t>select POl_Num as PolicyInfo_PolicyNumber,EXTRNL_REF as Policy_Identifier,QTE_SEQ_NUM as Quote_Seq_Num,POL_EXTRNL_ID,POL_TERM_EXTRNL_ID,EFF_FROM_DT,EFF_TO_DT 
from $SchemaName$.COMMERCIAL_AGRMNT
where EXTRNL_REF='$PolicyNumber$' and TO_CHAR(EFF_TO_DT,'MM/DD/YYYY')='12/31/9999' and TO_CHAR(VALID_TO_DT,'MM/DD/YYYY')='12/31/9999'</t>
  </si>
  <si>
    <t>select distinct io.extrnl_ref As Reg_Ofc_Cd,cagr.extrnl_ref as policy,fsr.TYP_ID,
cagr.start_dt as Satrt_Dt,cagr.end_dt 
from $SchemaName$.commercial_agrmnt cagr 
join $SchemaName$.FINANCIAL_SERVICES_ROLE fsr on FSR.CNTXT_FINCL_SRVC_AGREE_ID=CAGR.AGREE_ID  
join $SchemaName$.INTERNAL_ORGANISATION io on io.ROLE_PLAY_ID =  fsr.FINCL_SRVC_ROLE_PLAY_ID and io. TYP_ID =  130 --(Regional Unit) 
where cagr.extrnl_ref in ('$PolicyNumber$') and cagr.TYP_ID=849 and TO_CHAR(cagr.EFF_TO_DT,'MM/DD/YYYY')='12/31/9999' 
and TO_CHAR(cagr.VALID_TO_DT,'MM/DD/YYYY')='12/31/9999' and TO_CHAR(fsr.EFF_TO_DT,'MM/DD/YYYY')='12/31/9999' 
and TO_CHAR(fsr.VALID_TO_DT,'MM/DD/YYYY')='12/31/9999'</t>
  </si>
  <si>
    <t>Reg_Ofc_Cd</t>
  </si>
  <si>
    <t>Pol_Symbol_Cd</t>
  </si>
  <si>
    <t>select distinct ctg.extrnl_ref As Pol_Symbol_Cd,cagr.extrnl_ref as policy,
cagr.start_dt as Satrt_Dt,cagr.end_dt 
from $SchemaName$.commercial_agrmnt cagr 
join $SchemaName$.AGRMNT_CATEGORY_RLSP acr on acr.Agree_id=cagr.Agree_id and acr.NATR_ID=48 --Agreement Policy Symbol
join $SchemaName$.CATEGORY ctg on ctg.CATGY_ID=acr.CATGY_ID and ctg.TYP_ID=114 
where cagr.extrnl_ref in ('$PolicyNumber$') and cagr.TYP_ID=849 and 
TO_CHAR(cagr.EFF_TO_DT,'MM/DD/YYYY')='12/31/9999' and TO_CHAR(cagr.VALID_TO_DT,'MM/DD/YYYY')='12/31/9999'</t>
  </si>
  <si>
    <t>Job_Type</t>
  </si>
  <si>
    <t>Pol_status</t>
  </si>
  <si>
    <t>Job_Number</t>
  </si>
  <si>
    <t>Select distinct ca.extrnl_ref As Policy_Identifier1,cr.TRANS_TYP_CD As Job_Type,AST.STAT As Pol_status,cr.EXTRNL_REF As Job_Number,CR.REQUEST_DT, cr.REQUESTED_DT,
ca.EFF_FROM_DT,ca.EFF_TO_DT,ca.VALID_FROM_DT,ca.VALID_TO_DT
from $SchemaName$.Commercial_agrmnt ca 
left outer join $SchemaName$.Agrmnt_request_agrmnt_rlsp arar on ca.agree_id = arar.agree_id and ca.TYP_ID=849
left outer join $SchemaName$.agrmnt_status ast on CA.AGREE_ID=AST.AGREE_ID
Left outer Join $SchemaName$.agrmnt_request AR on ar.agree_rqst_id = arar.agree_rqst_id
Left outer Join  $SchemaName$.Change_request cr on cr.agree_rqst_id = ar.agree_rqst_id
where ca.extrnl_ref in ('$PolicyNumber$') and AST.STAT like 'Draft' and cr.TRANS_TYP_CD is not null and
TO_CHAR(ca.EFF_TO_DT,'MM/DD/YYYY')='12/31/9999' and TO_CHAR(ca.VALID_TO_DT,'MM/DD/YYYY')='12/31/9999'</t>
  </si>
  <si>
    <t>42848</t>
  </si>
  <si>
    <t>funBORCtrlStartDate</t>
  </si>
  <si>
    <t>funBORCtrlEndDate</t>
  </si>
  <si>
    <t>149243497238211</t>
  </si>
  <si>
    <t>clkShellPolicySummarytab:funpagescreenshot:eleShell_PolicyNumber:::eleShell_PolicyNumber:clkPolicyInfoTab:funpagescreenshot:edtPolicyInfo_PolicyNumber:elePolicyInfo_RO:edtCLAPolicySymbol:clkShellPolicySummarytab:clkShell_AccountNumber:lstAccountSummary_PolTran-All:funAccountSummary_DraftsubPolicyNum-Draft:funpagescreenshot</t>
  </si>
  <si>
    <t>BORCtrlStartDate</t>
  </si>
  <si>
    <t>BORCtrlEndDate</t>
  </si>
  <si>
    <t>ProducerCode</t>
  </si>
  <si>
    <t>NPNNumber</t>
  </si>
  <si>
    <t>NPNFirstName</t>
  </si>
  <si>
    <t>NPNLastName</t>
  </si>
  <si>
    <t>NPNMiddleInitial</t>
  </si>
  <si>
    <t>AgentControlStartDate</t>
  </si>
  <si>
    <t>AgentControlExpDate</t>
  </si>
  <si>
    <t>Select distinct ca.extrnl_ref As Policy_Identifier1,cr.TRANS_TYP_CD As Job_Type,AST.STAT As Pol_status,cr.EXTRNL_REF As Job_Number,CR.REQUEST_DT, cr.REQUESTED_DT,
ca.EFF_FROM_DT,ca.EFF_TO_DT,ca.VALID_FROM_DT,ca.VALID_TO_DT
from $SchemaName$.Commercial_agrmnt ca 
left outer join $SchemaName$.Agrmnt_request_agrmnt_rlsp arar on ca.agree_id = arar.agree_id and ca.TYP_ID=849
left outer join $SchemaName$.agrmnt_status ast on CA.AGREE_ID=AST.AGREE_ID
Left outer Join $SchemaName$.agrmnt_request AR on ar.agree_rqst_id = arar.agree_rqst_id
Left outer Join  $SchemaName$.Change_request cr on cr.agree_rqst_id = ar.agree_rqst_id
where ca.extrnl_ref in ('$PolicyNumber$') and AST.STAT like 'Quoted' and cr.TRANS_TYP_CD is not null and
TO_CHAR(ca.EFF_TO_DT,'MM/DD/YYYY')='12/31/9999' and TO_CHAR(ca.VALID_TO_DT,'MM/DD/YYYY')='12/31/9999'</t>
  </si>
  <si>
    <t>Pol_Eff_Dt</t>
  </si>
  <si>
    <t>Pol_Exp_Dt</t>
  </si>
  <si>
    <t>Select ca.EXTRNL_REF  as PolicyNumber, CR.PRODR_CD  As ProducerCode,CR.EFF_FROM_DT, CR.EFF_TO_DT, CR.VALID_FROM_DT, CR.VALID_TO_DT 
from $SchemaName$.COMMERCIAL_AGRMNT CA 
join $SchemaName$.FINANCIAL_SERVICES_ROLE fsr on fsr.CNTXT_FINCL_SRVC_AGREE_ID=ca.AGREE_ID and fsr.TYP_ID = 248 --Agency Selling Channel
join $SchemaName$.CHANNEL_ROLE CR on CR.ROLE_PLAY_ID=fsr.FINCL_SRVC_ROLE_PLAY_ID and CR.TYP_ID = 14 --Agency
Where ca.EXTRNL_REF ='$PolicyNumber$' and ca.typ_ID='849' --Commercial Shell and
and CR.PRODR_CD is not null
and TO_CHAR(ca.VALID_TO_DT,'MM/DD/YYYY')='12/31/9999' and TO_CHAR(ca.EFF_TO_DT,'MM/DD/YYYY')='12/31/9999'
and TO_CHAR(fsr.VALID_TO_DT,'MM/DD/YYYY')='12/31/9999' and TO_CHAR(fsr.EFF_TO_DT,'MM/DD/YYYY')='12/31/9999' 
and TO_CHAR(CR.VALID_TO_DT,'MM/DD/YYYY')='12/31/9999' and TO_CHAR(CR.EFF_TO_DT,'MM/DD/YYYY')='12/31/9999'</t>
  </si>
  <si>
    <t>NPNFIRTSNAME</t>
  </si>
  <si>
    <t>NPNLASTNAME</t>
  </si>
  <si>
    <t>NPNMIDNAME</t>
  </si>
  <si>
    <t>NPNNUMBER</t>
  </si>
  <si>
    <t>SELECT Distinct CA.EXTRNL_REF, PN.FIRST_NM AS NPNFIRTSNAME, PN.LAST_NM AS NPNLASTNAME, PN.MID_NM AS NPNMIDNAME, CR.EXTRNL_REF AS NPNNUMBER
FROM $SchemaName$.COMMERCIAL_AGRMNT CA
JOIN $SchemaName$.FINANCIAL_SERVICES_ROLE FSR on fsr.CNTXT_FINCL_SRVC_AGREE_ID = ca.AGREE_ID and fsr.TYP_ID = 247
JOIN $SchemaName$.CHANNEL_ROLE CR on CR.ROLE_PLAY_ID=FSR.FINCL_SRVC_ROLE_PLAY_ID AND CR.TYP_ID = 250
JOIN $SchemaName$.RL_PLYR_PARTY_NAME_RLSP RPPNR ON RPPNR.ROLE_PLAY_ID = CR.ROLE_PLAY_ID AND RPPNR.NATR_ID = 168 --Agent National Producer Name
JOIN $SchemaName$.PARTY_NAME PN ON PN.PRTY_NM_ID = RPPNR.PRTY_NM_ID 
WHERE CA.EXTRNL_REF = '$PolicyNumber$' 
and PN.FIRST_NM is not null
and PN.LAST_NM is not null
and PN.MID_NM is not null
AND TO_CHAR(ca.VALID_TO_DT,'MM/DD/YYYY')='12/31/9999' and TO_CHAR(ca.EFF_TO_DT,'MM/DD/YYYY')='12/31/9999'
and TO_CHAR(fsr.VALID_TO_DT,'MM/DD/YYYY')='12/31/9999' and TO_CHAR(fsr.EFF_TO_DT,'MM/DD/YYYY')='12/31/9999' 
and TO_CHAR(CR.VALID_TO_DT,'MM/DD/YYYY')='12/31/9999' and TO_CHAR(CR.EFF_TO_DT,'MM/DD/YYYY')='12/31/9999'</t>
  </si>
  <si>
    <t>41UFTZV9477</t>
  </si>
  <si>
    <t>ZV9477</t>
  </si>
  <si>
    <t>04/17/2017</t>
  </si>
  <si>
    <t>04/17/2018</t>
  </si>
  <si>
    <t>04/17/2017 12:00 AM</t>
  </si>
  <si>
    <t>clkShellPolicySummarytab:funpagescreenshot:eleShell_PolicyNumber:::eleShell_PolicyNumber:clkPolicyInfoTab:funpagescreenshot:edtPolicyInfo_PolicyNumber:edtCLAEffDate:edtCLAExpDate:edtBORCtrlStartDate:edtBORCtrlEndDate:edtCLAExpDate:elePolicyInfo_RO:edtCLAPolicySymbol:edtNPNNumber:edtNPNLastName:edtNPNFirstName:edtNPNMiddleInitial:edtProducerCode:clkShellPolicySummarytab:clkShell_AccountNumber:lstAccountSummary_PolTran-All:funAccountSummary_DraftsubPolicyNum-Quoted:funpagescreenshot</t>
  </si>
  <si>
    <t>UFT</t>
  </si>
  <si>
    <t>Quoted</t>
  </si>
  <si>
    <t>00000042974</t>
  </si>
  <si>
    <t>42974</t>
  </si>
  <si>
    <t>Select ca.EXTRNL_REF  as PolicyNumber, RPR.CTRL_START_DT As AgentControlStartDate,RPR.CTRL_EXPIRY_DT As AgentControlExpDate,
RPR.EFF_FROM_DT, RPR.EFF_TO_DT, RPR.VALID_FROM_DT, RPR.VALID_TO_DT
from $SchemaName$.COMMERCIAL_AGRMNT CA
join $SchemaName$.FINANCIAL_SERVICES_ROLE fsr on fsr.CNTXT_FINCL_SRVC_AGREE_ID=ca.AGREE_ID and CA.TYP_ID=849 --Commercial Shell
join $SchemaName$.RL_PLYR_RLSP RPR on RPR.LEFT_ROLE_PLAY_ID =fsr.FINCL_SRVC_ROLE_PLAY_ID and FSR.TYP_ID=248 and RPR.NATR_ID = 65
join $SchemaName$.FINANCIAL_SERVICES_ROLE fsr1 on RPR.RIGHT_ROLE_PLAY_ID= FSR1.FINCL_SRVC_ROLE_PLAY_ID and FSR1.TYP_ID= 115
Where ca.EXTRNL_REF = '$PolicyNumber$'
and ca. typ_ID='849' --Commercial Shell 
and TO_CHAR(ca.VALID_TO_DT,'MM/DD/YYYY')='12/31/9999' and TO_CHAR(ca.EFF_TO_DT,'MM/DD/YYYY')='12/31/9999' 
and TO_CHAR(fsr.VALID_TO_DT,'MM/DD/YYYY')='12/31/9999' and TO_CHAR(fsr.EFF_TO_DT,'MM/DD/YYYY')='12/31/9999'
and TO_CHAR(RPR.VALID_TO_DT,'MM/DD/YYYY')='12/31/9999' and TO_CHAR(RPR.EFF_TO_DT,'MM/DD/YYYY')='12/31/9999'
and TO_CHAR(fsr1.VALID_TO_DT,'MM/DD/YYYY')='12/31/9999' and TO_CHAR(fsr1.EFF_TO_DT,'MM/DD/YYYY')='12/31/9999'
and FSR1.CNTXT_FINCL_SRVC_AGREE_ID=CA.AGREE_ID</t>
  </si>
  <si>
    <t>41718910</t>
  </si>
  <si>
    <t>2017-04-17 00:00:00</t>
  </si>
  <si>
    <t>Select ca.EXTRNL_REF, ca.POL_NUM,ca.START_DT As Pol_Eff_Dt,ca.END_DT As Pol_Exp_Dt,ca.EFF_FROM_DT, ca.EFF_TO_DT, ca.VALID_FROM_DT, ca.VALID_TO_DT 
from $SchemaName$.COMMERCIAL_AGRMNT CA 
Where ca.EXTRNL_REF = '$PolicyNumber$'
and ca. TYP_ID = 849 -- Commercial Shell  
and TO_CHAR(ca.VALID_TO_DT,'MM/DD/YYYY')='12/31/9999' and TO_CHAR(ca.EFF_TO_DT,'MM/DD/YYYY')='12/31/9999'</t>
  </si>
  <si>
    <t>2018-04-17 00:00:00</t>
  </si>
  <si>
    <t>718910</t>
  </si>
  <si>
    <t>DatetimeAMPM</t>
  </si>
  <si>
    <t>5296,3146,3075</t>
  </si>
  <si>
    <t>eleCLACloseOption</t>
  </si>
  <si>
    <t>eleCLACloseOptionDecline</t>
  </si>
  <si>
    <t>lstCLADeclineReason</t>
  </si>
  <si>
    <t>Broker of Record</t>
  </si>
  <si>
    <t>elePursueNextyr</t>
  </si>
  <si>
    <t>lstSuccessfulCarrier</t>
  </si>
  <si>
    <t>edtSuccessfulCaramt</t>
  </si>
  <si>
    <t>eleCLADeclineUpdateBtn</t>
  </si>
  <si>
    <t>5298,2516,3092</t>
  </si>
  <si>
    <t>Select ca.EXTRNL_REF as PolicyNumber, ast.QTE_PRSNT_IND as QuotePresentedInd,ast.EFF_FROM_DT, ast.EFF_TO_DT, ast.VALID_FROM_DT,ast.VALID_TO_DT 
from $SchemaName$.COMMERCIAL_AGRMNT ca
join $SchemaName$.AGRMNT_STATUS ast on ast.AGREE_ID = ca.AGREE_ID 
where ca.extrnl_ref='$PolicyNumber$' and ca.TYP_ID= 849 --Commercial Shel
and TO_CHAR(ca.VALID_TO_DT,'MM/DD/YYYY')='12/31/9999' 
and TO_CHAR(ca.EFF_TO_DT,'MM/DD/YYYY')='12/31/9999' 
and TO_CHAR(ast.VALID_TO_DT,'MM/DD/YYYY')='12/31/9999' 
and TO_CHAR(ast.EFF_TO_DT,'MM/DD/YYYY')='12/31/9999'</t>
  </si>
  <si>
    <t>SubDeclinedDate</t>
  </si>
  <si>
    <t>SubmissionDeclinedTimeStamp</t>
  </si>
  <si>
    <t>Select ca.EXTRNL_REF,  cr.SUBM_DECL_TMSP as SubmissionDeclinedTimeStamp, ca.EFF_FROM_DT, ca.EFF_TO_DT, ca.VALID_FROM_DT, ca.VALID_TO_DT 
from $SchemaName$.COMMERCIAL_AGRMNT CA  
join $SchemaName$.AGRMNT_REQUEST_AGRMNT_RLSP arrlsp on arrlsp.AGREE_ID = ca.AGREE_ID and arrlsp.NATR_ID=43--Policy Change Request
join $SchemaName$.AGRMNT_REQUEST ar on ar.AGREE_RQST_ID = arrlsp.AGREE_RQST_ID and ar.typ_id=440 -- Policy Change
join $SchemaName$.CHANGE_REQUEST cr on cr.AGREE_RQST_ID = ar.AGREE_RQST_ID
where ca.extrnl_ref='$PolicyNumber$'
and ca.typ_ID='849' --Commercial Shell
and cr.SUBM_DECL_TMSP is not null
and TO_CHAR(ca.VALID_TO_DT,'MM/DD/YYYY')='12/31/9999' 
and TO_CHAR(ca.EFF_TO_DT,'MM/DD/YYYY')='12/31/9999' and
TO_CHAR(arrlsp.VALID_TO_DT,'MM/DD/YYYY')='12/31/9999'
and TO_CHAR(arrlsp.EFF_TO_DT,'MM/DD/YYYY')='12/31/9999'</t>
  </si>
  <si>
    <t>PolRequestDate</t>
  </si>
  <si>
    <t>PolRequestedDate</t>
  </si>
  <si>
    <t>REQUEST_DATE</t>
  </si>
  <si>
    <t>REQUESTED_DATE</t>
  </si>
  <si>
    <t>SELECT distinct CR.REQUEST_DT As REQUEST_DATE,CR.REQUESTED_DT As REQUESTED_DATE
,CA.EFF_FROM_DT, CA.EFF_TO_DT, Ca.VALID_FROM_DT, CA.VALID_TO_DT 
FROM $SchemaName$.COMMERCIAL_AGRMNT CA
JOIN $SchemaName$.AGRMNT_REQUEST_AGRMNT_RLSP ARAR ON CA.AGREE_ID = ARAR.AGREE_ID AND ARAR.NATR_ID = 43--Policy Change Request
JOIN $SchemaName$.CHANGE_REQUEST CR ON CR.AGREE_RQST_ID = ARAR.AGREE_RQST_ID --AND CR.TYP_ID = 31 --Change Request
WHERE CA.EXTRNL_REF= '$PolicyNumber$'
AND TO_CHAR(CA.VALID_TO_DT,'MM/DD/YYYY')='12/31/9999' AND TO_CHAR(CA.EFF_TO_DT,'MM/DD/YYYY')='12/31/9999'
AND TO_CHAR(ARAR.VALID_TO_DT,'MM/DD/YYYY')='12/31/9999' AND TO_CHAR(ARAR.EFF_TO_DT,'MM/DD/YYYY')='12/31/9999'</t>
  </si>
  <si>
    <t>149258824804806</t>
  </si>
  <si>
    <t>41AB WK0092</t>
  </si>
  <si>
    <t>04/19/2017</t>
  </si>
  <si>
    <t>Declined</t>
  </si>
  <si>
    <t>00000044610</t>
  </si>
  <si>
    <t>2017-04-19 00:00:00</t>
  </si>
  <si>
    <t>2017-04-19 03:51:06</t>
  </si>
  <si>
    <t>44610</t>
  </si>
  <si>
    <t>Select distinct ca.extrnl_ref As Policy_Identifier1,cr.TRANS_TYP_CD As Job_Type,AST.STAT As Pol_status,cr.EXTRNL_REF As Job_Number,CR.REQUEST_DT, cr.REQUESTED_DT,
ca.EFF_FROM_DT,ca.EFF_TO_DT,ca.VALID_FROM_DT,ca.VALID_TO_DT
from $SchemaName$.Commercial_agrmnt ca 
left outer join $SchemaName$.Agrmnt_request_agrmnt_rlsp arar on ca.agree_id = arar.agree_id and ca.TYP_ID=849
left outer join $SchemaName$.agrmnt_status ast on CA.AGREE_ID=AST.AGREE_ID
Left outer Join $SchemaName$.agrmnt_request AR on ar.agree_rqst_id = arar.agree_rqst_id
Left outer Join  $SchemaName$.Change_request cr on cr.agree_rqst_id = ar.agree_rqst_id
where ca.extrnl_ref in ('$PolicyNumber$') and AST.STAT like 'Declined' and cr.TRANS_TYP_CD is not null and
TO_CHAR(ca.EFF_TO_DT,'MM/DD/YYYY')='12/31/9999' and TO_CHAR(ca.VALID_TO_DT,'MM/DD/YYYY')='12/31/9999'</t>
  </si>
  <si>
    <t>5303,3093</t>
  </si>
  <si>
    <t>AC</t>
  </si>
  <si>
    <t>149259348861095</t>
  </si>
  <si>
    <t>41AC WK0125</t>
  </si>
  <si>
    <t>QuoteSuccessfulInd</t>
  </si>
  <si>
    <t>Select ca.EXTRNL_REF as PolicyNumber, ast.QTE_SUCC_IND as QuoteSuccessfulInd,
ast.EFF_FROM_DT, ast.EFF_TO_DT, ast.VALID_FROM_DT,ast.VALID_TO_DT
from $SchemaName$.COMMERCIAL_AGRMNT ca
join $SchemaName$.AGRMNT_STATUS ast on ast.AGREE_ID = ca.AGREE_ID 
where ca.extrnl_ref='$PolicyNumber$' and ca.TYP_ID= 849 --Commercial Shel
and TO_CHAR(ca.VALID_TO_DT,'MM/DD/YYYY')='12/31/9999' 
and TO_CHAR(ca.EFF_TO_DT,'MM/DD/YYYY')='12/31/9999' 
and TO_CHAR(ast.VALID_TO_DT,'MM/DD/YYYY')='12/31/9999' 
and TO_CHAR(ast.EFF_TO_DT,'MM/DD/YYYY')='12/31/9999'</t>
  </si>
  <si>
    <t>WK0125</t>
  </si>
  <si>
    <t>00000044496</t>
  </si>
  <si>
    <t>44496</t>
  </si>
  <si>
    <t>lsjAMPBillingMethod</t>
  </si>
  <si>
    <t>lsjAMPBillingNumber</t>
  </si>
  <si>
    <t>edtAMPBillingNumber</t>
  </si>
  <si>
    <t>lstAMPInstallmentPlan</t>
  </si>
  <si>
    <t>eljAlternatePayer</t>
  </si>
  <si>
    <t>lsjPayerCode</t>
  </si>
  <si>
    <t>edtPayerName1</t>
  </si>
  <si>
    <t>edtPayerAddress1</t>
  </si>
  <si>
    <t>edtPayerCity</t>
  </si>
  <si>
    <t>lstPayerState</t>
  </si>
  <si>
    <t>edtPayerZip</t>
  </si>
  <si>
    <t>edtPolicyFee</t>
  </si>
  <si>
    <t>edtFilingFee</t>
  </si>
  <si>
    <t>edtInspectionFee</t>
  </si>
  <si>
    <t>edtStampingFee</t>
  </si>
  <si>
    <t>edtPolicyTax</t>
  </si>
  <si>
    <t>edtAmpFee</t>
  </si>
  <si>
    <t>edtTotalPremium</t>
  </si>
  <si>
    <t>eleCommonUpdateId</t>
  </si>
  <si>
    <t>elePolicyInfoTab</t>
  </si>
  <si>
    <t>eleCLAIssuePolicyBO</t>
  </si>
  <si>
    <t>eleCLAAccountNumber</t>
  </si>
  <si>
    <t>cfuVerifyPolicyStatus</t>
  </si>
  <si>
    <t>CommonEdit</t>
  </si>
  <si>
    <t>1234567A</t>
  </si>
  <si>
    <t>Designated</t>
  </si>
  <si>
    <t>246 Buckland Hills</t>
  </si>
  <si>
    <t>6040</t>
  </si>
  <si>
    <t>196162356254087</t>
  </si>
  <si>
    <t>986892405834843</t>
  </si>
  <si>
    <t>669791907359997</t>
  </si>
  <si>
    <t>600640655122604</t>
  </si>
  <si>
    <t>edtSORNPNFirstName</t>
  </si>
  <si>
    <t>edtSORNPNLastName</t>
  </si>
  <si>
    <t>edtSORNPNMiddleName</t>
  </si>
  <si>
    <t>Tfirst</t>
  </si>
  <si>
    <t>Tlast</t>
  </si>
  <si>
    <t>M</t>
  </si>
  <si>
    <t>Sfirst</t>
  </si>
  <si>
    <t>Slast</t>
  </si>
  <si>
    <t>Rfirst</t>
  </si>
  <si>
    <t>Rlast</t>
  </si>
  <si>
    <t>O</t>
  </si>
  <si>
    <t>5297,3165,3126,3076,3102</t>
  </si>
  <si>
    <t>funlineOfBusiness</t>
  </si>
  <si>
    <t>ExposureState:::Connecticut</t>
  </si>
  <si>
    <t>149328395399311</t>
  </si>
  <si>
    <t>Select distinct ca.extrnl_ref As Policy_Identifier1,cr.TRANS_TYP_CD As Job_Type,AST.STAT As Pol_status,cr.EXTRNL_REF As Job_Number,CR.REQUEST_DT, cr.REQUESTED_DT,
ca.EFF_FROM_DT,ca.EFF_TO_DT,ca.VALID_FROM_DT,ca.VALID_TO_DT
from $SchemaName$.Commercial_agrmnt ca 
left outer join $SchemaName$.Agrmnt_request_agrmnt_rlsp arar on ca.agree_id = arar.agree_id and ca.TYP_ID=849
left outer join $SchemaName$.agrmnt_status ast on CA.AGREE_ID=AST.AGREE_ID
Left outer Join $SchemaName$.agrmnt_request AR on ar.agree_rqst_id = arar.agree_rqst_id
Left outer Join  $SchemaName$.Change_request cr on cr.agree_rqst_id = ar.agree_rqst_id
where ca.extrnl_ref in ('$PolicyNumber$') and AST.STAT like 'Bound' and cr.TRANS_TYP_CD is not null and
TO_CHAR(ca.EFF_TO_DT,'MM/DD/YYYY')='12/31/9999' and TO_CHAR(ca.VALID_TO_DT,'MM/DD/YYYY')='12/31/9999'</t>
  </si>
  <si>
    <t>41UU ZV9491</t>
  </si>
  <si>
    <t>clkShellPolicySummarytab:funpagescreenshot:eleShell_PolicyNumber:::eleShell_PolicyNumber:clkShell_AccountNumber:lstAccountSummary_PolTran-All:funAccountSummary_DraftsubPolicyNum-Bound:funpagescreenshot</t>
  </si>
  <si>
    <t>00000049146</t>
  </si>
  <si>
    <t>ZV9491</t>
  </si>
  <si>
    <t>49146</t>
  </si>
  <si>
    <t>Verify458Service11</t>
  </si>
  <si>
    <t>UEN</t>
  </si>
  <si>
    <t>cfuSelectPolicyNumber</t>
  </si>
  <si>
    <t>eleMaintainanceTransactions</t>
  </si>
  <si>
    <t>elePC_PolicyShellDocuments</t>
  </si>
  <si>
    <t>eleCommonAdd</t>
  </si>
  <si>
    <t>lsjMT_TransactionType</t>
  </si>
  <si>
    <t>edtMT_TransactionPremium</t>
  </si>
  <si>
    <t>edtMT_EndorsementNumber</t>
  </si>
  <si>
    <t>edtMT_DateRecevied</t>
  </si>
  <si>
    <t>edtMT_TransactionEffective</t>
  </si>
  <si>
    <t>lstMT_SourceOfSubmission</t>
  </si>
  <si>
    <t>edtTotalAuditedCost</t>
  </si>
  <si>
    <t>funDate</t>
  </si>
  <si>
    <t>lstMT_Type</t>
  </si>
  <si>
    <t>lstMT_CancelReason</t>
  </si>
  <si>
    <t>eleMT_PaymentTab</t>
  </si>
  <si>
    <t>eleMT_TranPremAmount</t>
  </si>
  <si>
    <t>edtMT_TranPremAmount</t>
  </si>
  <si>
    <t>btnTotTransPremiumRadio</t>
  </si>
  <si>
    <t>eleMaintainanceTransactionsDetailsAssert</t>
  </si>
  <si>
    <t>eleMT_GrossCommission</t>
  </si>
  <si>
    <t>edtMT_GrossCommission</t>
  </si>
  <si>
    <t>eleMT_RetailAgencyCommission</t>
  </si>
  <si>
    <t>edtMT_RetailAgencyCommission</t>
  </si>
  <si>
    <t>funSelectTransactions</t>
  </si>
  <si>
    <t>eleMT_TransactionTab</t>
  </si>
  <si>
    <t>eleCommonCancel</t>
  </si>
  <si>
    <t>eleCommonUpdate</t>
  </si>
  <si>
    <t>eleCommonDelete</t>
  </si>
  <si>
    <t>eleShellPolicySummaryQLaunch</t>
  </si>
  <si>
    <t>cfuVerifyErrorMessages</t>
  </si>
  <si>
    <t>CLAPolicyNumber</t>
  </si>
  <si>
    <t>TC181_1</t>
  </si>
  <si>
    <t>46KDAZT6761</t>
  </si>
  <si>
    <t>TC182</t>
  </si>
  <si>
    <t>VerifyMaintainanceTransasctionDetailPage</t>
  </si>
  <si>
    <t>Cancellation</t>
  </si>
  <si>
    <t>DateReceived</t>
  </si>
  <si>
    <t>TransactionEffective</t>
  </si>
  <si>
    <t>Adverse Loss</t>
  </si>
  <si>
    <t>VerifyCreateMT:::EBC:::Adverse Loss:::Cancellation:::$5.00:::5:::5:::Canceled</t>
  </si>
  <si>
    <t>TC183</t>
  </si>
  <si>
    <t>DeleteWarningMessage:::::The record will be permanently deleted</t>
  </si>
  <si>
    <t>VerifyDelete</t>
  </si>
  <si>
    <t>TC184</t>
  </si>
  <si>
    <t>11/11/2017</t>
  </si>
  <si>
    <t>VERIFYDATEWARNINGMESSAGE:::Date Received cannot be greater than the Process Date</t>
  </si>
  <si>
    <t>46KDAZT6764</t>
  </si>
  <si>
    <t>11/11/2016</t>
  </si>
  <si>
    <t>VERIFYDATEWARNINGMESSAGE:::The Effective Date of the Transaction must be within the policy term.</t>
  </si>
  <si>
    <t>TC176</t>
  </si>
  <si>
    <t>VERIFYDROPDOWNVALUES:::lsjMT_TransactionType:::Audit:::Billing Adjustment:::Billing Plan Change:::Cancellation:::Change Renewal Status:::Policy Change</t>
  </si>
  <si>
    <t>Audit</t>
  </si>
  <si>
    <t>AUDITEFFECTIVEDATE</t>
  </si>
  <si>
    <t>AUDITEXPIRATIONDATE</t>
  </si>
  <si>
    <t>WarningMessage:::::The following fields cannot be null -Gross Commission % -Agency Retail Commission % -Total Transaction Premium</t>
  </si>
  <si>
    <t>VisibleTrue:::MT_PaymentTab</t>
  </si>
  <si>
    <t>TC177</t>
  </si>
  <si>
    <t>Change Renewal Status</t>
  </si>
  <si>
    <t>01/01/2017</t>
  </si>
  <si>
    <t>VERIFYTYPELISTBOX</t>
  </si>
  <si>
    <t>TC178</t>
  </si>
  <si>
    <t>Policy Change</t>
  </si>
  <si>
    <t>To check the policy change functionality</t>
  </si>
  <si>
    <t>VERIFYPAYMENTTAB</t>
  </si>
  <si>
    <t>01/11/2017</t>
  </si>
  <si>
    <t>Phone</t>
  </si>
  <si>
    <t>VERIFYPOLICYCHANGESUMMARY:::01/11/2017:::5</t>
  </si>
  <si>
    <t>TC179</t>
  </si>
  <si>
    <t>SCSR</t>
  </si>
  <si>
    <t>Pro Rate</t>
  </si>
  <si>
    <t>Coverage</t>
  </si>
  <si>
    <t>VERIFYCANCELEDPOLICY</t>
  </si>
  <si>
    <t>VERIFYTRANSACTIONLISTTYPES:::Audit</t>
  </si>
  <si>
    <t>Reinstatement</t>
  </si>
  <si>
    <t>VERIFYTRANSACTIONLISTTYPES:::Reinstatement</t>
  </si>
  <si>
    <t>TC180</t>
  </si>
  <si>
    <t>01/13/2017</t>
  </si>
  <si>
    <t>Mail</t>
  </si>
  <si>
    <t>TC206_2</t>
  </si>
  <si>
    <t>MaintainanceTransactionsAssert</t>
  </si>
  <si>
    <t>TC207_2</t>
  </si>
  <si>
    <t>Policy Rewritten HIG Pkg</t>
  </si>
  <si>
    <t>MT_Canceled</t>
  </si>
  <si>
    <t>VIERFYCANCELSTATUS:::Canceled</t>
  </si>
  <si>
    <t>TC208</t>
  </si>
  <si>
    <t>01/19/2017</t>
  </si>
  <si>
    <t>Default</t>
  </si>
  <si>
    <t>TC213</t>
  </si>
  <si>
    <t>VerifyTransaction:::Policy Change</t>
  </si>
  <si>
    <t>TC214</t>
  </si>
  <si>
    <t>VerifyTransaction:::Cancellation</t>
  </si>
  <si>
    <t>VisibleFalse:::PolicyShellDoc_View</t>
  </si>
  <si>
    <t>TC215</t>
  </si>
  <si>
    <t>TC216</t>
  </si>
  <si>
    <t>Insured Phone</t>
  </si>
  <si>
    <t>VISIBLETRUE:::PolicyShellDoc_View</t>
  </si>
  <si>
    <t>TC217</t>
  </si>
  <si>
    <t>TC432</t>
  </si>
  <si>
    <t>TransactionEffective+60</t>
  </si>
  <si>
    <t>Policy Rewritten</t>
  </si>
  <si>
    <t>To check for BBPt</t>
  </si>
  <si>
    <t>VERIFYTRANSACTIONTYPE_TABLE:::Cancellation</t>
  </si>
  <si>
    <t>TC442</t>
  </si>
  <si>
    <t>Non-Payment</t>
  </si>
  <si>
    <t>To check for SST</t>
  </si>
  <si>
    <t>TC443</t>
  </si>
  <si>
    <t>TC447</t>
  </si>
  <si>
    <t>TC663</t>
  </si>
  <si>
    <t>EFFDT_LESS_POLEFFDT</t>
  </si>
  <si>
    <t>Correction</t>
  </si>
  <si>
    <t>Check for AMP</t>
  </si>
  <si>
    <t>Billing Plan Change</t>
  </si>
  <si>
    <t>VisibleFalse:::MT_PaymentTab</t>
  </si>
  <si>
    <t>WarningMessage:::::The Effective Date of the Transaction must be within the policy term.</t>
  </si>
  <si>
    <t>EFFDT_GRT_POLEXPDT</t>
  </si>
  <si>
    <t>TC664</t>
  </si>
  <si>
    <t>VERIFYAUDITEXPDATE:::edtAuditExpDate</t>
  </si>
  <si>
    <t>TC665</t>
  </si>
  <si>
    <t>Billing Adjustment</t>
  </si>
  <si>
    <t>DT_RECEIEVED_GT_CUR_DT</t>
  </si>
  <si>
    <t>TRANSACTIONEFFECTIVE</t>
  </si>
  <si>
    <t>WarningMessage:::::Date Received cannot be greater than the Process Date</t>
  </si>
  <si>
    <t>TC518</t>
  </si>
  <si>
    <t>180</t>
  </si>
  <si>
    <t>DateComplete</t>
  </si>
  <si>
    <t>MaintainanceTransactions</t>
  </si>
  <si>
    <t>149328869583206</t>
  </si>
  <si>
    <t>41UENZV8715</t>
  </si>
  <si>
    <t>TC_07_R2_ODS_Manual_Policy_Shell_cancel</t>
  </si>
  <si>
    <t>clkShellPolicySummarytab:funpagescreenshot:eleShell_PolicyNumber:::eleShell_PolicyNumber:funPOLICYSUMMARY_TRANSACTION-Cancellation</t>
  </si>
  <si>
    <t>PolicySummary_TranType</t>
  </si>
  <si>
    <t>PolicySummary_TranNum</t>
  </si>
  <si>
    <t>49302</t>
  </si>
  <si>
    <t>Select distinct ca.extrnl_ref As PolicyInfo_PolicyNumber,cr.TRANS_TYP_CD As Job_Type,AST.STAT As Pol_status,cr.EXTRNL_REF As Job_Number,CR.REQUEST_DT, cr.REQUESTED_DT,
ca.EFF_FROM_DT,ca.EFF_TO_DT,ca.VALID_FROM_DT,ca.VALID_TO_DT
from $SchemaName$.Commercial_agrmnt ca 
left outer join $SchemaName$.Agrmnt_request_agrmnt_rlsp arar on ca.agree_id = arar.agree_id and ca.TYP_ID=849
left outer join $SchemaName$.agrmnt_status ast on CA.AGREE_ID=AST.AGREE_ID
Left outer Join $SchemaName$.agrmnt_request AR on ar.agree_rqst_id = arar.agree_rqst_id
Left outer Join $SchemaName$.Change_request cr on cr.agree_rqst_id = ar.agree_rqst_id
where ca.extrnl_ref in ('$PolicyNumber$') 
and AST.STAT like 'Bound'
and cr.TRANS_TYP_CD like '%Cancellation%'
and TO_CHAR(ca.EFF_TO_DT,'MM/DD/YYYY')='12/31/9999' and TO_CHAR(ca.VALID_TO_DT,'MM/DD/YYYY')='12/31/9999'</t>
  </si>
  <si>
    <t>PSCancellation_Ext</t>
  </si>
  <si>
    <t>Reinstate</t>
  </si>
  <si>
    <t>TC_08_R2_ODS_Manual_Policy_Shell_Reinstatement</t>
  </si>
  <si>
    <t>Verify458Service12</t>
  </si>
  <si>
    <t>UEC</t>
  </si>
  <si>
    <t>Agent Phone</t>
  </si>
  <si>
    <t>clkShellPolicySummarytab:funpagescreenshot:eleShell_PolicyNumber:::eleShell_PolicyNumber:funPOLICYSUMMARY_TRANSACTION-Reinstatement</t>
  </si>
  <si>
    <t>Select distinct ca.extrnl_ref As PolicyInfo_PolicyNumber,cr.TRANS_TYP_CD As Job_Type,AST.STAT As Pol_status,cr.EXTRNL_REF As Job_Number,CR.REQUEST_DT, cr.REQUESTED_DT,
ca.EFF_FROM_DT,ca.EFF_TO_DT,ca.VALID_FROM_DT,ca.VALID_TO_DT
from $SchemaName$.Commercial_agrmnt ca 
left outer join $SchemaName$.Agrmnt_request_agrmnt_rlsp arar on ca.agree_id = arar.agree_id and ca.TYP_ID=849
left outer join $SchemaName$.agrmnt_status ast on CA.AGREE_ID=AST.AGREE_ID
Left outer Join $SchemaName$.agrmnt_request AR on ar.agree_rqst_id = arar.agree_rqst_id
Left outer Join $SchemaName$.Change_request cr on cr.agree_rqst_id = ar.agree_rqst_id
where ca.extrnl_ref in ('$PolicyNumber$') 
and AST.STAT like 'Bound'
and cr.TRANS_TYP_CD like '%Reinstatement%'
and TO_CHAR(ca.EFF_TO_DT,'MM/DD/YYYY')='12/31/9999' and TO_CHAR(ca.VALID_TO_DT,'MM/DD/YYYY')='12/31/9999'</t>
  </si>
  <si>
    <t>149329419869552</t>
  </si>
  <si>
    <t>41UECZV8717</t>
  </si>
  <si>
    <t>49319</t>
  </si>
  <si>
    <t>PSReinstatement_Ext</t>
  </si>
  <si>
    <t>250</t>
  </si>
  <si>
    <t>edtMTEndorsementNum</t>
  </si>
  <si>
    <t>eleMTIsPreBeaEnd</t>
  </si>
  <si>
    <t>Experience Mod</t>
  </si>
  <si>
    <t>edtMTChangeNar</t>
  </si>
  <si>
    <t>edtMTAnnualPre</t>
  </si>
  <si>
    <t>edtMTNameReq</t>
  </si>
  <si>
    <t>Verify458Service13</t>
  </si>
  <si>
    <t>450</t>
  </si>
  <si>
    <t>Select distinct ca.extrnl_ref As PolicyInfo_PolicyNumber,cr.TRANS_TYP_CD As Job_Type,AST.STAT As Pol_status,cr.EXTRNL_REF As Job_Number,CR.REQUEST_DT, cr.REQUESTED_DT,
ca.EFF_FROM_DT,ca.EFF_TO_DT,ca.VALID_FROM_DT,ca.VALID_TO_DT
from $SchemaName$.Commercial_agrmnt ca 
left outer join $SchemaName$.Agrmnt_request_agrmnt_rlsp arar on ca.agree_id = arar.agree_id and ca.TYP_ID=849
left outer join $SchemaName$.agrmnt_status ast on CA.AGREE_ID=AST.AGREE_ID
Left outer Join $SchemaName$.agrmnt_request AR on ar.agree_rqst_id = arar.agree_rqst_id
Left outer Join $SchemaName$.Change_request cr on cr.agree_rqst_id = ar.agree_rqst_id
where ca.extrnl_ref in ('$PolicyNumber$') 
and AST.STAT like 'Bound'
and cr.TRANS_TYP_CD like '%PolicyChange%'
and TO_CHAR(ca.EFF_TO_DT,'MM/DD/YYYY')='12/31/9999' and TO_CHAR(ca.VALID_TO_DT,'MM/DD/YYYY')='12/31/9999'</t>
  </si>
  <si>
    <t>TC_09_R2_ODS_Manual_Policy_Shell_Endorsement_Is_this_a_Premium_Bearing Endorsement_Check</t>
  </si>
  <si>
    <t>149329949915868</t>
  </si>
  <si>
    <t>41UENZV8720</t>
  </si>
  <si>
    <t>49515</t>
  </si>
  <si>
    <t>PSPolicyChange_Ext</t>
  </si>
  <si>
    <t>5304,5306,5305</t>
  </si>
  <si>
    <t>clkShellPolicySummarytab:funpagescreenshot:eleShell_PolicyNumber:::eleShell_PolicyNumber:funPOLICYSUMMARY_TRANSACTION-Policy Change:elePCSUMBillingMethod</t>
  </si>
  <si>
    <t>PCSUMBillingMethod</t>
  </si>
  <si>
    <t>BillingMethod</t>
  </si>
  <si>
    <t>Select ca.EXTRNL_REF  as PolicyNumber, MS.BILL_METH_CD As BillingMethod,MS.EFF_FROM_DT, MS.EFF_TO_DT, MS.VALID_FROM_DT, MS.VALID_TO_DT 
from $SchemaName$.COMMERCIAL_AGRMNT CA 
join $SchemaName$.MNY_SCHEDULER MS on MS.AGREE_ID=ca.AGREE_ID 
Where ca.EXTRNL_REF = '$PolicyNumber$' and ca. typ_ID='849' --Commercial Shell 
and TO_CHAR(ca.VALID_TO_DT,'MM/DD/YYYY')='12/31/9999' and TO_CHAR(ca.EFF_TO_DT,'MM/DD/YYYY')='12/31/9999'</t>
  </si>
  <si>
    <t>DirectBill</t>
  </si>
  <si>
    <t>TC_12_R2_ODS_Manual_Policy_Shell_Audit</t>
  </si>
  <si>
    <t>Verify458Service14</t>
  </si>
  <si>
    <t>Final</t>
  </si>
  <si>
    <t>edtMTAuditCost</t>
  </si>
  <si>
    <t>300</t>
  </si>
  <si>
    <t>PolicyTransactionType</t>
  </si>
  <si>
    <t>Sub_Type</t>
  </si>
  <si>
    <t>Select distinct ca.extrnl_ref As PolicyInfo_PolicyNumber,cr.TRANS_TYP_CD As Job_Type,cr.TRANS_SUB_TYP_CD As Sub_Type,cr.EXTRNL_REF As Job_Number,CR.REQUEST_DT, cr.REQUESTED_DT,
ca.EFF_FROM_DT,ca.EFF_TO_DT,ca.VALID_FROM_DT,ca.VALID_TO_DT
from $SchemaName$.Commercial_agrmnt ca 
join $SchemaName$.Agrmnt_request_agrmnt_rlsp arar on ca.agree_id = arar.agree_id --and ca.TYP_ID=849
join $SchemaName$.Agrmnt_STATUS ag on ca.agree_id = ag.agree_id 
Join $SchemaName$.agrmnt_request AR on ar.agree_rqst_id = arar.agree_rqst_id and arar.NATR_ID=43
Join $SchemaName$.Change_request cr on cr.agree_rqst_id = ar.agree_rqst_id and cr.TYP_ID=440
where ca.extrnl_ref in '$PolicyNumber$' 
and cr.TRANS_TYP_CD like '%Audit%'
and TO_CHAR(ca.EFF_TO_DT,'MM/DD/YYYY')='12/31/9999' and TO_CHAR(ca.VALID_TO_DT,'MM/DD/YYYY')='12/31/9999'
and TO_CHAR(arar.EFF_TO_DT,'MM/DD/YYYY')='12/31/9999' and TO_CHAR(arar.VALID_TO_DT,'MM/DD/YYYY')='12/31/9999'
and TO_CHAR(ag.EFF_TO_DT,'MM/DD/YYYY')='12/31/9999' and TO_CHAR(ag.VALID_TO_DT,'MM/DD/YYYY')='12/31/9999'</t>
  </si>
  <si>
    <t>41UECZV8721</t>
  </si>
  <si>
    <t>49533</t>
  </si>
  <si>
    <t>clkShellPolicySummarytab:funpagescreenshot:eleShell_PolicyNumber:::eleShell_PolicyNumber:funPOLICYSUMMARY_TRANSACTION-Audit:clkMTleftMaintenanceTran:elePolicyTransactionType</t>
  </si>
  <si>
    <t>PSAudit_Ext</t>
  </si>
  <si>
    <t>final</t>
  </si>
  <si>
    <t>TC_13_R2_ODS_Manual_Policy_Shell_Do_Not_Renew-UW</t>
  </si>
  <si>
    <t>TC_14_R2_ODS_Manual_Policy_Shell_Release_Non_Renewal</t>
  </si>
  <si>
    <t>Verify458Service15</t>
  </si>
  <si>
    <t>Verify458Service16</t>
  </si>
  <si>
    <t>Verify458Service17</t>
  </si>
  <si>
    <t>Do Not Renew - UW</t>
  </si>
  <si>
    <t>149336084841987</t>
  </si>
  <si>
    <t>41UENZV8723</t>
  </si>
  <si>
    <t>Release Non Renewal</t>
  </si>
  <si>
    <t>149336143443818</t>
  </si>
  <si>
    <t>41UECZV8724</t>
  </si>
  <si>
    <t>clkShellPolicySummarytab:funpagescreenshot:eleShell_PolicyNumber:::eleShell_PolicyNumber:funPOLICYSUMMARY_TRANSACTION-Policy Change:clkMTleftMaintenanceTran:elePolicyTransactionType</t>
  </si>
  <si>
    <t>Select distinct ca.extrnl_ref As PolicyInfo_PolicyNumber,cr.TRANS_TYP_CD As Job_Type,cr.TRANS_SUB_TYP_CD As Sub_Type,cr.EXTRNL_REF As Job_Number,
CR.REQUEST_DT, cr.REQUESTED_DT,ca.EFF_FROM_DT,ca.EFF_TO_DT,ca.VALID_FROM_DT,ca.VALID_TO_DT
from $SchemaName$.Commercial_agrmnt ca 
join $SchemaName$.Agrmnt_request_agrmnt_rlsp arar on ca.agree_id = arar.agree_id and ca.TYP_ID=849
join $SchemaName$.Agrmnt_STATUS ag on ca.agree_id = ag.agree_id 
Join $SchemaName$.agrmnt_request AR on ar.agree_rqst_id = arar.agree_rqst_id and arar.NATR_ID=43
Join $SchemaName$.Change_request cr on cr.agree_rqst_id = ar.agree_rqst_id and cr.TYP_ID=440
where ca.extrnl_ref in '$PolicyNumber$' 
and cr.TRANS_SUB_TYP_CD is not null
and TO_CHAR(ca.EFF_TO_DT,'MM/DD/YYYY')='12/31/9999' and TO_CHAR(ca.VALID_TO_DT,'MM/DD/YYYY')='12/31/9999'
and TO_CHAR(arar.EFF_TO_DT,'MM/DD/YYYY')='12/31/9999' and TO_CHAR(arar.VALID_TO_DT,'MM/DD/YYYY')='12/31/9999'
and TO_CHAR(ag.EFF_TO_DT,'MM/DD/YYYY')='12/31/9999' and TO_CHAR(ag.VALID_TO_DT,'MM/DD/YYYY')='12/31/9999'</t>
  </si>
  <si>
    <t>SpaceHyphen</t>
  </si>
  <si>
    <t>49591</t>
  </si>
  <si>
    <t>doNotRenewUW</t>
  </si>
  <si>
    <t>49711</t>
  </si>
  <si>
    <t>relNonRenewal</t>
  </si>
  <si>
    <t>TC_15_R2_ODS_Manual_Policy_Shell_renewal_quote</t>
  </si>
  <si>
    <t>05/20/2016</t>
  </si>
  <si>
    <t>149336496707183</t>
  </si>
  <si>
    <t>eleSelectAccount</t>
  </si>
  <si>
    <t>funSelectPolicyTable</t>
  </si>
  <si>
    <t>eleRenewPolicy</t>
  </si>
  <si>
    <t>eleRenewShell</t>
  </si>
  <si>
    <t>clrCLAEffDate</t>
  </si>
  <si>
    <t>clrCLAExpDate</t>
  </si>
  <si>
    <t>edtExpiringPremium</t>
  </si>
  <si>
    <t>lstRenewalType</t>
  </si>
  <si>
    <t>clrPolNum</t>
  </si>
  <si>
    <t>clrSIC</t>
  </si>
  <si>
    <t>clrMSI</t>
  </si>
  <si>
    <t>clrPolBusinessSeg</t>
  </si>
  <si>
    <t>eleProducerCodeXMark</t>
  </si>
  <si>
    <t>lstPolBusinessGrouping</t>
  </si>
  <si>
    <t>eljCommonSaveDraft</t>
  </si>
  <si>
    <t>eleCLAUploadToQuote</t>
  </si>
  <si>
    <t>eleCLADraftBO</t>
  </si>
  <si>
    <t>eleCLAQuotePresentedBO</t>
  </si>
  <si>
    <t>eleCLAQuoteSuccessfulBO</t>
  </si>
  <si>
    <t>eleCLACloseOptionWithDraw</t>
  </si>
  <si>
    <t>eleCLACloseOptionNotTaken</t>
  </si>
  <si>
    <t>eleCloseOptionNonRenew</t>
  </si>
  <si>
    <t>lstCLANotTakenReason</t>
  </si>
  <si>
    <t>edtCLANotTakenReasonTxt</t>
  </si>
  <si>
    <t>elePursueNextYearNo</t>
  </si>
  <si>
    <t>lstCLASuccessfulCarrier</t>
  </si>
  <si>
    <t>edtCLASuccessfulPremium</t>
  </si>
  <si>
    <t>eleCLANotTakenUpdateBtn</t>
  </si>
  <si>
    <t>elePreRenewal</t>
  </si>
  <si>
    <t>elePreRenewalEdit</t>
  </si>
  <si>
    <t>elePreRenewalDelete</t>
  </si>
  <si>
    <t>lsjPreRenewalDirection</t>
  </si>
  <si>
    <t>cfuVerifyEditBoxText</t>
  </si>
  <si>
    <t>edtPreRenewalText</t>
  </si>
  <si>
    <t>elePreRenewalUpdate</t>
  </si>
  <si>
    <t>elePreRenewalView</t>
  </si>
  <si>
    <t>eleHistory</t>
  </si>
  <si>
    <t>eleSummaryPreRenewalClick</t>
  </si>
  <si>
    <t>eleBillingCompanySearchIcon</t>
  </si>
  <si>
    <t>edtBillingCompanyName</t>
  </si>
  <si>
    <t>eleCommonSearch</t>
  </si>
  <si>
    <t>eleCommonSelect</t>
  </si>
  <si>
    <t>edtCLAEffDate</t>
  </si>
  <si>
    <t>edtCLAExpDate</t>
  </si>
  <si>
    <t>eleRewritePolicyNumberfLD</t>
  </si>
  <si>
    <t>eleAccountNumber</t>
  </si>
  <si>
    <t>TC293</t>
  </si>
  <si>
    <t>VERIFYMESSAGE:::Pre-renewal:::Pre Renewal Direction was Removed</t>
  </si>
  <si>
    <t>TC294</t>
  </si>
  <si>
    <t>VERIFYTOPIC:::Pre-renewal direction</t>
  </si>
  <si>
    <t>TC295</t>
  </si>
  <si>
    <t>VERIFYTITLE:::Policy Info</t>
  </si>
  <si>
    <t>VERIFYCONFIRMATION:::Are you sure you want to create a Renewal shell for this policy?</t>
  </si>
  <si>
    <t>VERIFYPOLICYSTATUS:::Draft</t>
  </si>
  <si>
    <t>TC296</t>
  </si>
  <si>
    <t>CommonZeroResults:::::Renewal shell already exists</t>
  </si>
  <si>
    <t>TC297</t>
  </si>
  <si>
    <t>VISIBLETRUE:::ProCodeLabel</t>
  </si>
  <si>
    <t>VISIBLETRUE:::ProductLabel</t>
  </si>
  <si>
    <t>VISIBLETRUE:::EffDateLabel</t>
  </si>
  <si>
    <t>VISIBLETRUE:::BusSegLabel</t>
  </si>
  <si>
    <t>TC298</t>
  </si>
  <si>
    <t>VISIBLETRUE:::CLATitlePolicyInfo</t>
  </si>
  <si>
    <t>TC299</t>
  </si>
  <si>
    <t>VERIFYCONFIRMATION:::Are you sure you want to mark this policy as Quote Successful?</t>
  </si>
  <si>
    <t>CLAQuotePolStatusAssert</t>
  </si>
  <si>
    <t>123456</t>
  </si>
  <si>
    <t>CLAPaymentTitle</t>
  </si>
  <si>
    <t>50</t>
  </si>
  <si>
    <t>VERIFYCONFIRMATION:::Are you sure you want to bind and issue this policy?</t>
  </si>
  <si>
    <t>VERIFYTRANSACTIONSTATUS:::Renewal(Bound)</t>
  </si>
  <si>
    <t>VISIBLEFALSE:::CLAReservePolicyNumber</t>
  </si>
  <si>
    <t>VISIBLEFALSE:::UploadToQueue</t>
  </si>
  <si>
    <t>VISIBLEFALSE:::CLABindOption</t>
  </si>
  <si>
    <t>VISIBLEFALSE:::CLACloseOption</t>
  </si>
  <si>
    <t>VISIBLETRUE:::PolEffecDate</t>
  </si>
  <si>
    <t>VISIBLETRUE:::PolExpDate</t>
  </si>
  <si>
    <t>VISIBLETRUE:::PolSIC</t>
  </si>
  <si>
    <t>VISIBLETRUE:::PolMSI</t>
  </si>
  <si>
    <t>VISIBLETRUE:::PolBusinessSeg</t>
  </si>
  <si>
    <t>VISIBLETRUE:::PolProducerCode</t>
  </si>
  <si>
    <t>VISIBLETRUE:::PolBusinessGrouping</t>
  </si>
  <si>
    <t>VISIBLETRUE:::PolPolicyNumber</t>
  </si>
  <si>
    <t>TC300</t>
  </si>
  <si>
    <t>236963</t>
  </si>
  <si>
    <t>CommonZeroResults:::::Please ensure Policy Number, Business Segment, Business Grouping, Effective Date, Expiration Date, MSI, SIC and Producer Code are populated before Issuance</t>
  </si>
  <si>
    <t>TC301</t>
  </si>
  <si>
    <t>ACE Commercial Risk</t>
  </si>
  <si>
    <t>1/21/2016</t>
  </si>
  <si>
    <t>1/21/2017</t>
  </si>
  <si>
    <t>AC1234</t>
  </si>
  <si>
    <t>TC302</t>
  </si>
  <si>
    <t>VERIFYCONFIRMATION:::Are you sure you want to save the draft?</t>
  </si>
  <si>
    <t>CLADraftPolStatusAssert</t>
  </si>
  <si>
    <t>TC303</t>
  </si>
  <si>
    <t>VERIFYQUOTEPRESENTED:::No</t>
  </si>
  <si>
    <t>VERIFYQUOTESUCCESSFUL:::No</t>
  </si>
  <si>
    <t>VISIBLETRUE:::QuoteDate</t>
  </si>
  <si>
    <t>TC304</t>
  </si>
  <si>
    <t>TC305</t>
  </si>
  <si>
    <t>TC306</t>
  </si>
  <si>
    <t>TC307</t>
  </si>
  <si>
    <t>TC308</t>
  </si>
  <si>
    <t>TC309</t>
  </si>
  <si>
    <t>TC310</t>
  </si>
  <si>
    <t>TC311</t>
  </si>
  <si>
    <t>TC312</t>
  </si>
  <si>
    <t>TC317</t>
  </si>
  <si>
    <t>TC318</t>
  </si>
  <si>
    <t>VERIFYQUOTEDATE</t>
  </si>
  <si>
    <t>TC319</t>
  </si>
  <si>
    <t>VERIFYPOLICYSTATUS:::Quoted</t>
  </si>
  <si>
    <t>TC320</t>
  </si>
  <si>
    <t>VERIFYCONFIRMATION:::Are you sure you want to withdraw this policy transaction? Any unsaved changes will be lost and you cannot reopen the transaction.</t>
  </si>
  <si>
    <t>CLARenewalWithDrawnStatusAssert</t>
  </si>
  <si>
    <t>TC438</t>
  </si>
  <si>
    <t>FRE</t>
  </si>
  <si>
    <t>VERIFYEXPIRYFIELDS:::20.00:::FRE</t>
  </si>
  <si>
    <t>TC656</t>
  </si>
  <si>
    <t>TC657</t>
  </si>
  <si>
    <t>TC658</t>
  </si>
  <si>
    <t>TC659</t>
  </si>
  <si>
    <t>TC537</t>
  </si>
  <si>
    <t>Refer Renewal</t>
  </si>
  <si>
    <t>2/10/2016</t>
  </si>
  <si>
    <t>2/10/2017</t>
  </si>
  <si>
    <t>VERIFYPOLICYSTATUS:::Expired</t>
  </si>
  <si>
    <t>TC538</t>
  </si>
  <si>
    <t>7/10/2017</t>
  </si>
  <si>
    <t>7/10/2018</t>
  </si>
  <si>
    <t>VERIFYPOLICYSTATUS:::Scheduled</t>
  </si>
  <si>
    <t>TC539</t>
  </si>
  <si>
    <t>VERIFYCONFIRMATION:::Are you sure you want to mark this policy as Quote Presented?</t>
  </si>
  <si>
    <t>VERIFYPOLICYSTATUS:::In Force</t>
  </si>
  <si>
    <t>TC540</t>
  </si>
  <si>
    <t>VERIFYTRANSACTIONSTATUS:::Renewal(Not-taken)</t>
  </si>
  <si>
    <t>VERIFYQUOTEPRESENTED:::Yes</t>
  </si>
  <si>
    <t>TC541</t>
  </si>
  <si>
    <t>TC542</t>
  </si>
  <si>
    <t>TC544</t>
  </si>
  <si>
    <t>TC545</t>
  </si>
  <si>
    <t>TC546</t>
  </si>
  <si>
    <t>TC547</t>
  </si>
  <si>
    <t>TC548</t>
  </si>
  <si>
    <t>TC549</t>
  </si>
  <si>
    <t>TC550</t>
  </si>
  <si>
    <t>TC651</t>
  </si>
  <si>
    <t>TC652</t>
  </si>
  <si>
    <t>TC557</t>
  </si>
  <si>
    <t>TC558</t>
  </si>
  <si>
    <t>VERIFYWARNINGLABEL:::Non-Renew is not available for shell. Please process in CLA/Maintenance transaction</t>
  </si>
  <si>
    <t>TC560</t>
  </si>
  <si>
    <t>Commercial Auto</t>
  </si>
  <si>
    <t>No response</t>
  </si>
  <si>
    <t>TC562</t>
  </si>
  <si>
    <t>TC563</t>
  </si>
  <si>
    <t>VERIFYTRANSACTIONSTATUS:::Renewal(Draft)</t>
  </si>
  <si>
    <t>VERIFYTRANSACTIONSTATUS:::Renewal(Quoted)</t>
  </si>
  <si>
    <t>TC565</t>
  </si>
  <si>
    <t>VISIBLETRUE:::CLAQuotedBO</t>
  </si>
  <si>
    <t>VISIBLETRUE:::CLAQuotePresentedBO</t>
  </si>
  <si>
    <t>VISIBLETRUE:::CLAQuoteSuccessfulBO</t>
  </si>
  <si>
    <t>TC567</t>
  </si>
  <si>
    <t>VERIFYUPLOADTOQUOTEWARNING:::The Upload to Quote function is not allowed for this Business Segment.</t>
  </si>
  <si>
    <t>TC726</t>
  </si>
  <si>
    <t>TC727</t>
  </si>
  <si>
    <t>TC728</t>
  </si>
  <si>
    <t>TC729</t>
  </si>
  <si>
    <t>TC730</t>
  </si>
  <si>
    <t>TC731</t>
  </si>
  <si>
    <t>TC732</t>
  </si>
  <si>
    <t>TC733</t>
  </si>
  <si>
    <t>TC734</t>
  </si>
  <si>
    <t>TC735</t>
  </si>
  <si>
    <t>TC736</t>
  </si>
  <si>
    <t>TC737</t>
  </si>
  <si>
    <t>TC738</t>
  </si>
  <si>
    <t>VISIBLETRUE:::CLABoundPolStatusAssert</t>
  </si>
  <si>
    <t>RenewalPolicy</t>
  </si>
  <si>
    <t>149336660213806</t>
  </si>
  <si>
    <t>clkShellPolicySummarytab:funpagescreenshot:eleShell_PolicyNumber:::eleShell_PolicyNumber:clkShell_AccountNumber:lstAccountSummary_PolTran-All:funACCOUNTSUMMARY_POLICYTRANDET-Quoted-Renewal:funpagescreenshot</t>
  </si>
  <si>
    <t>clkShellPolicySummarytab:funpagescreenshot:eleShell_PolicyNumber:::eleShell_PolicyNumber:clkShell_AccountNumber:lstAccountSummary_PolTran-All:funACCOUNTSUMMARY_POLICYTRANDET-Bound-Renewal:funpagescreenshot</t>
  </si>
  <si>
    <t>46UU ZT8227</t>
  </si>
  <si>
    <t>Renewal</t>
  </si>
  <si>
    <t>00000050017</t>
  </si>
  <si>
    <t>Select distinct ca.extrnl_ref As Policy_Identifier,cr.TRANS_TYP_CD As Job_Type,AST.STAT As Pol_status,cr.EXTRNL_REF As Job_Number,CR.REQUEST_DT, cr.REQUESTED_DT,
ca.EFF_FROM_DT,ca.EFF_TO_DT,ca.VALID_FROM_DT,ca.VALID_TO_DT
from $SchemaName$.Commercial_agrmnt ca 
left outer join $SchemaName$.Agrmnt_request_agrmnt_rlsp arar on ca.agree_id = arar.agree_id and ca.TYP_ID=849
left outer join $SchemaName$.agrmnt_status ast on CA.AGREE_ID=AST.AGREE_ID
Left outer Join $SchemaName$.agrmnt_request AR on ar.agree_rqst_id = arar.agree_rqst_id
Left outer Join $SchemaName$.Change_request cr on cr.agree_rqst_id = ar.agree_rqst_id
where ca.extrnl_ref in ('$PolicyNumber$') 
and AST.STAT like 'Quoted'
and cr.TRANS_TYP_CD like '%Renewal%'
and TO_CHAR(ca.EFF_TO_DT,'MM/DD/YYYY')='12/31/9999' and TO_CHAR(ca.VALID_TO_DT,'MM/DD/YYYY')='12/31/9999'</t>
  </si>
  <si>
    <t>PSRenewal_Ext</t>
  </si>
  <si>
    <t>50017</t>
  </si>
  <si>
    <t>Select distinct ca.extrnl_ref As Policy_Identifier,cr.TRANS_TYP_CD As Job_Type,AST.STAT As Pol_status,cr.EXTRNL_REF As Job_Number,CR.REQUEST_DT, cr.REQUESTED_DT,
ca.EFF_FROM_DT,ca.EFF_TO_DT,ca.VALID_FROM_DT,ca.VALID_TO_DT
from $SchemaName$.Commercial_agrmnt ca 
left outer join $SchemaName$.Agrmnt_request_agrmnt_rlsp arar on ca.agree_id = arar.agree_id and ca.TYP_ID=849
left outer join $SchemaName$.agrmnt_status ast on CA.AGREE_ID=AST.AGREE_ID
Left outer Join $SchemaName$.agrmnt_request AR on ar.agree_rqst_id = arar.agree_rqst_id
Left outer Join $SchemaName$.Change_request cr on cr.agree_rqst_id = ar.agree_rqst_id
where ca.extrnl_ref in ('$PolicyNumber$') 
and AST.STAT like 'Bound'
and cr.TRANS_TYP_CD like '%Renewal%'
and TO_CHAR(ca.EFF_TO_DT,'MM/DD/YYYY')='12/31/9999' and TO_CHAR(ca.VALID_TO_DT,'MM/DD/YYYY')='12/31/9999'</t>
  </si>
  <si>
    <t>46UU ZT8228</t>
  </si>
  <si>
    <t>00000049821</t>
  </si>
  <si>
    <t>49821</t>
  </si>
  <si>
    <t>149337280823994</t>
  </si>
  <si>
    <t>46KDAZT8415</t>
  </si>
  <si>
    <t>46AB 568945</t>
  </si>
  <si>
    <t>41UENfgh455</t>
  </si>
  <si>
    <t>46SBAgh45yt</t>
  </si>
  <si>
    <t>ZT8415</t>
  </si>
  <si>
    <t>46</t>
  </si>
  <si>
    <t>00000049842</t>
  </si>
  <si>
    <t>49842</t>
  </si>
  <si>
    <t>KDB</t>
  </si>
  <si>
    <t>KDC</t>
  </si>
  <si>
    <t>KDD</t>
  </si>
  <si>
    <t>KDE</t>
  </si>
  <si>
    <t>AMP Crime:::Shell</t>
  </si>
  <si>
    <t>AMP General Liability:::Shell</t>
  </si>
  <si>
    <t>AMP Umbrella:::Shell</t>
  </si>
  <si>
    <t>ExposureState:::Alaska</t>
  </si>
  <si>
    <t>ExposureState:::Arizona</t>
  </si>
  <si>
    <t>ExposureState:::California</t>
  </si>
  <si>
    <t>ExposureState:::Georgia</t>
  </si>
  <si>
    <t>149337531824562</t>
  </si>
  <si>
    <t>46KDBZT2384</t>
  </si>
  <si>
    <t>ZT2384</t>
  </si>
  <si>
    <t>clkShellPolicySummarytab:funpagescreenshot:eleShell_PolicyNumber:::eleShell_PolicyNumber:clkPolicyInfoTab:funpagescreenshot:edtPolicyInfo_PolicyNumber:elePolicyInfo_RO:edtCLAPolicySymbol:clkShellPolicySummarytab:clkShell_AccountNumber:lstAccountSummary_PolTran-All:funAccountSummary_DraftsubPolicyNum-Quoted:funpagescreenshot</t>
  </si>
  <si>
    <t>00000049769</t>
  </si>
  <si>
    <t>49769</t>
  </si>
  <si>
    <t>149337624018521</t>
  </si>
  <si>
    <t>46KDCZT2708</t>
  </si>
  <si>
    <t/>
  </si>
  <si>
    <t>00000049856</t>
  </si>
  <si>
    <t>49856</t>
  </si>
  <si>
    <t>clkShellPolicySummarytab:funpagescreenshot:eleShell_PolicyNumber:::eleShell_PolicyNumber:clkPolicyInfoTab:funpagescreenshot:eleQuotePre:elePolicyInfo_RO:edtCLAPolicySymbol:clkShellPolicySummarytab:clkShell_AccountNumber:lstAccountSummary_PolTran-All:funAccountSummary_DraftsubPolicyNum-Quoted:funpagescreenshot</t>
  </si>
  <si>
    <t>clkShellPolicySummarytab:funpagescreenshot:eleShell_PolicyNumber:::eleShell_PolicyNumber:clkPolicyInfoTab:funpagescreenshot:edtPolicyInfo_PolicyNumber:eleQuoteSuc:elePolicyInfo_RO:edtCLAPolicySymbol:clkShellPolicySummarytab:clkShell_AccountNumber:lstAccountSummary_PolTran-All:funAccountSummary_DraftsubPolicyNum-Quoted:funpagescreenshot</t>
  </si>
  <si>
    <t>clkShellPolicySummarytab:funpagescreenshot:eleShell_PolicyNumber:::eleShell_PolicyNumber:clkPolicyInfoTab:funpagescreenshot:eleQuotePre:elePolicyInfo_RO:eleCLAPolicySymbol:cfuReturnCurrentDate-SubDeclinedDate:cfuReturnCurrentDate-PolRequestDate:cfuReturnCurrentDate-PolRequestedDate:clkShellPolicySummarytab:clkShell_AccountNumber:lstAccountSummary_PolTran-All:funAccountSummary_DraftsubPolicyNum-Declined:funpagescreenshot</t>
  </si>
  <si>
    <t>QuoteSuc</t>
  </si>
  <si>
    <t>149338054582982</t>
  </si>
  <si>
    <t>46KDDZT2755</t>
  </si>
  <si>
    <t>ZT2755</t>
  </si>
  <si>
    <t>149338135645768</t>
  </si>
  <si>
    <t>41KDEZV9525</t>
  </si>
  <si>
    <t>00000049874</t>
  </si>
  <si>
    <t>ZV9525</t>
  </si>
  <si>
    <t>49874</t>
  </si>
  <si>
    <t>Group16</t>
  </si>
  <si>
    <t>TC52</t>
  </si>
  <si>
    <t>TC53</t>
  </si>
  <si>
    <t>TC54</t>
  </si>
  <si>
    <t>TC55</t>
  </si>
  <si>
    <t>TC56</t>
  </si>
  <si>
    <t>TC57</t>
  </si>
  <si>
    <t>TC58</t>
  </si>
  <si>
    <t>TC59</t>
  </si>
  <si>
    <t>TC60</t>
  </si>
  <si>
    <t>Verify458Service18</t>
  </si>
  <si>
    <t>Verify458Service19</t>
  </si>
  <si>
    <t>Verify458Service20</t>
  </si>
  <si>
    <t>Verify458Service21</t>
  </si>
  <si>
    <t>Verify458Service22</t>
  </si>
  <si>
    <t>Verify458Service23</t>
  </si>
  <si>
    <t>Verify458Service24</t>
  </si>
  <si>
    <t>Verify458Service25</t>
  </si>
  <si>
    <t>select CA.EXTRNL_REF as PolicySummary_PolicyNumber,PA.ADDR As Lien_AddressLine1,PA.CITY_NM As Lien_CityName,PA.REG_CD As Lien_State_Abbr,
PA.POST_CD As Lien_ZIPCODE,ccpr.EFF_FROM_DT As Pol_Eff_Date,ccpr.EFF_TO_DT,ccpr.VALID_FROM_DT As Valid_from_Date,ccpr.VALID_TO_DT 
from $SchemaName$.COMMERCIAL_AGRMNT ca 
join $SchemaName$.financial_services_role fsr on FSR.CNTXT_FINCL_SRVC_AGREE_ID=ca.agree_id and fsr.TYP_ID=745--Lein Holder
join $SchemaName$.CONTACT_PREFERENCE CP on CP.SUBJ_ROLE_PLAY_ID=fsr.ROLE_PLAY_ID and CP.TYP_ID=926 --Lien Holder Contact 
join $SchemaName$.CONTACT_CONTACT_POINT_RLSP ccpr on cp.CNTCT_ID=ccpr.CNTCT_ID and CcpR.NATR_ID=696 --Lein Holder Address
join $SchemaName$.POSTAL_ADDRESS PA on PA.CNTCT_PNT_ID =CCPR.CNTCT_PNT_ID and PA.TYP_ID =116
where CA.EXTRNL_REF='$PolicyNumber$'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</si>
  <si>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elePolicySummary_PolicyNumber:::elePolicySummary_PolicyNumber:funpagescreenshot:clkContacts:funpagescreenshot:funPOLICY_SELECTCONTACT-Billing Contact:elePhonePref:eleHomePhone:eleFaxPhone:elePrimaryEmail:eleSecondaryEmail:clkAccountSummary_LeftPane:clkPolicySummary_AccountNumber:funpagescreenshot:clkEdtButton:eleAccount_Country:eleAccount_Address1:eleAccount_City:eleAccount_County:eleAccount_State:eleAccount_ZipCode:clkEditUpdate:cfuReturnCurrentDate-Account_Eff_Date:cfuReturnCurrentDate-Account_ValidFrom_Date</t>
  </si>
  <si>
    <t>TARRANT</t>
  </si>
  <si>
    <t>Select CA.EXTRNL_REF as PolicySummary_PolicyNumber,PA.ADDR As ContactAddress1,PA.LINE_2_ADDR ,PA.LINE_3_ADDR,PA.CITY_NM As ContactCity,PA.REG_CD As ContactState,PA.POST_CD As ContactZip,PA.SUBREGION_NM As ContactCountry,
PA.CNTRY_CD As ContactCounty,ccpr.EFF_FROM_DT As Account_Eff_Date,ccpr.EFF_TO_DT,ccpr.VALID_FROM_DT As Account_ValidFrom_Date,ccpr.VALID_TO_DT 
from $SchemaName$.COMMERCIAL_AGRMNT ca 
join $SchemaName$.financial_services_role fsr on FSR.CNTXT_FINCL_SRVC_AGREE_ID=ca.agree_id and fsr.TYP_ID=802 --Billing Contact
join $SchemaName$.CONTACT_PREFERENCE CP on CP.SUBJ_ROLE_PLAY_ID=fsr.ROLE_PLAY_ID and CP.TYP_ID=989 --Account Contact
join $SchemaName$.CONTACT_CONTACT_POINT_RLSP ccpr on cp.CNTCT_ID=ccpr.CNTCT_ID and CcpR.NATR_ID=634 --Account Contact Address
join $SchemaName$.POSTAL_ADDRESS PA on PA.CNTCT_PNT_ID =CCPR.CNTCT_PNT_ID and PA.TYP_ID =116
where CA.EXTRNL_REF='$PolicyNumber$'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</si>
  <si>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TX</t>
  </si>
  <si>
    <t>Select CA.EXTRNL_REF,EA.NODE_TXT as PrimaryEmail,ccpr.EFF_FROM_DT,ccpr.EFF_TO_DT,ccpr.VALID_FROM_DT,ccpr.VALID_TO_DT 
from $SchemaName$.COMMERCIAL_AGRMNT ca 
join $SchemaName$.financial_services_role fsr on FSR.CNTXT_FINCL_SRVC_AGREE_ID=ca.agree_id and fsr.TYP_ID=802 --Billing Contact
join $SchemaName$.CONTACT_PREFERENCE CP on CP.SUBJ_ROLE_PLAY_ID=fsr.ROLE_PLAY_ID and CP.TYP_ID = 989 --Account Contact
join $SchemaName$.CONTACT_CONTACT_POINT_RLSP ccpr on cp.CNTCT_ID=ccpr.CNTCT_ID and CcpR.NATR_ID = 637 --Account Contact Primary Email Address
join $SchemaName$.ELECTRONIC_ADDRESS EA on EA.CNTCT_PNT_ID=ccpr.CNTCT_PNT_ID and EA.TYP_ID = 55 --Email Address
where CA.EXTRNL_REF='$PolicyNumber$'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</si>
  <si>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CA.EXTRNL_REF,EA.NODE_TXT as SecondaryEmail,ccpr.EFF_FROM_DT,ccpr.EFF_TO_DT,ccpr.VALID_FROM_DT,ccpr.VALID_TO_DT 
from $SchemaName$.COMMERCIAL_AGRMNT ca 
join $SchemaName$.financial_services_role fsr on FSR.CNTXT_FINCL_SRVC_AGREE_ID=ca.agree_id and fsr.TYP_ID=802 --Billing Contact
join $SchemaName$.CONTACT_PREFERENCE CP on CP.SUBJ_ROLE_PLAY_ID=fsr.ROLE_PLAY_ID and CP.TYP_ID = 989 --Account Contact
join $SchemaName$.CONTACT_CONTACT_POINT_RLSP ccpr on cp.CNTCT_ID=ccpr.CNTCT_ID and CcpR.NATR_ID = 638 --Account Contact Secondary Email Address
join $SchemaName$.ELECTRONIC_ADDRESS EA on EA.CNTCT_PNT_ID=ccpr.CNTCT_PNT_ID and EA.TYP_ID = 55 --Email Address
where CA.EXTRNL_REF='$PolicyNumber$' 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</si>
  <si>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CA.EXTRNL_REF,TN.LOCAL_NUM as HomePhone,TN.ELECT_TYP_CD as PhonePref,ccpr.EFF_FROM_DT,ccpr.EFF_TO_DT,ccpr.VALID_FROM_DT,ccpr.VALID_TO_DT 
from $SchemaName$.COMMERCIAL_AGRMNT ca 
join $SchemaName$.financial_services_role fsr on FSR.CNTXT_FINCL_SRVC_AGREE_ID=ca.agree_id and fsr.TYP_ID=802 --Billing Contact
join $SchemaName$.CONTACT_PREFERENCE CP on CP.SUBJ_ROLE_PLAY_ID=fsr.ROLE_PLAY_ID and CP.TYP_ID=989 --Account Contac
join $SchemaName$.CONTACT_CONTACT_POINT_RLSP ccpr on cp.CNTCT_ID=ccpr.CNTCT_ID and CcpR.NATR_ID=719 --Account Contact Phone Number
join $SchemaName$.TELEPHONE_NUMBER TN on TN.CNTCT_PNT_ID=ccpr.CNTCT_PNT_ID and TN.TYP_ID=111 --Phone Number
where CA.EXTRNL_REF='$PolicyNumber$' 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</si>
  <si>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CA.EXTRNL_REF,TN.LOCAL_NUM as FaxPhone,TN.ELECT_TYP_CD,ccpr.EFF_FROM_DT,ccpr.EFF_TO_DT,ccpr.VALID_FROM_DT,ccpr.VALID_TO_DT 
from $SchemaName$.COMMERCIAL_AGRMNT ca 
join $SchemaName$.financial_services_role fsr on FSR.CNTXT_FINCL_SRVC_AGREE_ID=ca.agree_id and fsr.TYP_ID=802 --Billing Contact
join $SchemaName$.CONTACT_PREFERENCE CP on CP.SUBJ_ROLE_PLAY_ID=fsr.ROLE_PLAY_ID and CP.TYP_ID=989 --Account Contact
join $SchemaName$.CONTACT_CONTACT_POINT_RLSP ccpr on cp.CNTCT_ID=ccpr.CNTCT_ID and CcpR.NATR_ID=636 --Account Contact Fax Number
join $SchemaName$.TELEPHONE_NUMBER TN on TN.CNTCT_PNT_ID=ccpr.CNTCT_PNT_ID and TN.TYP_ID=111 --Phone Number
where CA.EXTRNL_REF='$PolicyNumber$'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</si>
  <si>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7895694568</t>
  </si>
  <si>
    <t>Select CA.EXTRNL_REF as PolicySummary_PolicyNumber,PA.ADDR As PrimaryContact_AddressLine,PA.LINE_2_ADDR as AddressLine2,PA.LINE_3_ADDR as AddressLine3,
PA.CITY_NM As PrimaryContact_City,PA.REG_CD As PrimaryContact_State,PA.POST_CD As PrimaryContact_Zip,PA.SUBREGION_NM As PrimaryContact_Country,
PA.CNTRY_CD As PrimaryContact_County,ccpr.EFF_FROM_DT As Policy_Eff_Date,ccpr.EFF_TO_DT,ccpr.VALID_FROM_DT As Policy_ValidFrom_Date,ccpr.VALID_TO_DT 
from $SchemaName$.COMMERCIAL_AGRMNT ca 
join $SchemaName$.FINANCIAL_SERVICES_ROLE FSR on FSR.CNTXT_FINCL_SRVC_AGREE_ID=ca.agree_id and fsr.TYP_ID=246 --Main Insured
join $SchemaName$.CONTACT_PREFERENCE CP on CP.SUBJ_ROLE_PLAY_ID=fsr.ROLE_PLAY_ID and CP.TYP_ID=937 --Main Insured Contact 
join $SchemaName$.CONTACT_CONTACT_POINT_RLSP ccpr on cp.CNTCT_ID=ccpr.CNTCT_ID and CcpR.NATR_ID=669 --Main Insured Address
join $SchemaName$.POSTAL_ADDRESS PA on PA.CNTCT_PNT_ID =CCPR.CNTCT_PNT_ID and PA.TYP_ID =116
where CA.EXTRNL_REF='$PolicyNumber$'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</si>
  <si>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test1PC@thehartford.com</t>
  </si>
  <si>
    <t>test2PC@thehartford.com</t>
  </si>
  <si>
    <t>233360473858914</t>
  </si>
  <si>
    <t>eleAccountAddress</t>
  </si>
  <si>
    <t>testwebPC@thehartford.com</t>
  </si>
  <si>
    <t>test1_301@thehartford.com</t>
  </si>
  <si>
    <t>test2_301@thehartford.com</t>
  </si>
  <si>
    <t>testweb_301@thehartford.com</t>
  </si>
  <si>
    <t>test1_301Lien@thehartford.com</t>
  </si>
  <si>
    <t>test2_301Lien@thehartford.com</t>
  </si>
  <si>
    <t>testweb_301Lien@thehartford.com</t>
  </si>
  <si>
    <t>test1_298@thehartford.com</t>
  </si>
  <si>
    <t>test2_298@thehartford.com</t>
  </si>
  <si>
    <t>testweb_298@thehartford.com</t>
  </si>
  <si>
    <t>896-569-7846</t>
  </si>
  <si>
    <t>896-569-7847</t>
  </si>
  <si>
    <t>896-569-7848</t>
  </si>
  <si>
    <t>896-569-7849</t>
  </si>
  <si>
    <t>896-569-7850</t>
  </si>
  <si>
    <t>896-569-7851</t>
  </si>
  <si>
    <t>896-569-7852</t>
  </si>
  <si>
    <t>test1_298Lien@thehartford.com</t>
  </si>
  <si>
    <t>test2_298Lien@thehartford.com</t>
  </si>
  <si>
    <t>testweb_298Lien@thehartford.com</t>
  </si>
  <si>
    <t>test_299AP1@thehartford.com</t>
  </si>
  <si>
    <t>test2_299AP@thehartford.com</t>
  </si>
  <si>
    <t>testweb_299AP@thehartford.com</t>
  </si>
  <si>
    <t>test1_307PC@thehartford.com</t>
  </si>
  <si>
    <t>test2_307PC@thehartford.com</t>
  </si>
  <si>
    <t>testweb_307PC@thehartford.com</t>
  </si>
  <si>
    <t>test1_307Lien@thehartford.com</t>
  </si>
  <si>
    <t>test2_307Lien@thehartford.com</t>
  </si>
  <si>
    <t>testweb_307Lien@thehartford.com</t>
  </si>
  <si>
    <t>41WECAA4CUC</t>
  </si>
  <si>
    <t>05/03/2017</t>
  </si>
  <si>
    <t>select CA.EXTRNL_REF as PolicySummary_PolicyNumber1,PA.ADDR As AlternatePayer_AddressLine,PA.CITY_NM As AlternatePayer_City,PA.REG_CD As AlternatePayer_State,PA.POST_CD As AlternatePayer_Zip,ccpr.EFF_FROM_DT As Policy_Eff_Date1,ccpr.EFF_TO_DT,ccpr.VALID_FROM_DT As Policy_ValidFrom_Date1,ccpr.VALID_TO_DT 
from $SchemaName$.COMMERCIAL_AGRMNT ca 
join $SchemaName$.financial_services_role fsr on FSR.CNTXT_FINCL_SRVC_AGREE_ID=ca.agree_id and fsr.TYP_ID=122--Premium Payor
join $SchemaName$.CONTACT_PREFERENCE CP on CP.SUBJ_ROLE_PLAY_ID=fsr.ROLE_PLAY_ID and CP.TYP_ID=938 --Premium Payor Contact
join $SchemaName$.CONTACT_CONTACT_POINT_RLSP ccpr on cp.CNTCT_ID=ccpr.CNTCT_ID and CcpR.NATR_ID=674 --Premium Payor Address
join $SchemaName$.POSTAL_ADDRESS PA on PA.CNTCT_PNT_ID =CCPR.CNTCT_PNT_ID and PA.TYP_ID =116
where CA.EXTRNL_REF='$PolicyNumber$'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</si>
  <si>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 as PolicySummary_PolicyNumber,PA.ADDR As PrimaryContact_AddressLine,PA.LINE_2_ADDR as AddressLine2,PA.LINE_3_ADDR as AddressLine3,
PA.CITY_NM As PrimaryContact_City,PA.REG_CD As PrimaryContact_State,PA.POST_CD As PrimaryContact_Zip,PA.SUBREGION_NM ,
PA.CNTRY_CD As PrimaryContact_Country,ccpr.EFF_FROM_DT As Policy_Eff_Date,ccpr.EFF_TO_DT,ccpr.VALID_FROM_DT As Policy_ValidFrom_Date,ccpr.VALID_TO_DT 
from $SchemaName$.COMMERCIAL_AGRMNT ca 
join $SchemaName$.FINANCIAL_SERVICES_ROLE FSR on FSR.CNTXT_FINCL_SRVC_AGREE_ID=ca.agree_id and fsr.TYP_ID=246 --Main Insured
join $SchemaName$.CONTACT_PREFERENCE CP on CP.SUBJ_ROLE_PLAY_ID=fsr.ROLE_PLAY_ID and CP.TYP_ID=937 --Main Insured Contact 
join $SchemaName$.CONTACT_CONTACT_POINT_RLSP ccpr on cp.CNTCT_ID=ccpr.CNTCT_ID and CcpR.NATR_ID=669 --Main Insured Address
join $SchemaName$.POSTAL_ADDRESS PA on PA.CNTCT_PNT_ID =CCPR.CNTCT_PNT_ID and PA.TYP_ID =116
where CA.EXTRNL_REF='$PolicyNumber$' 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</si>
  <si>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 as PolicySummary_PolicyNumber,PA.ADDR As PrimaryContact_AddressLine,PA.LINE_2_ADDR as AddressLine2,PA.LINE_3_ADDR as AddressLine3,
PA.CITY_NM As PrimaryContact_City,PA.REG_CD As PrimaryContact_State,PA.POST_CD As PrimaryContact_Zip,PA.SUBREGION_NM As PrimaryContact_County,
PA.CNTRY_CD ,ccpr.EFF_FROM_DT As Policy_Eff_Date,ccpr.EFF_TO_DT,ccpr.VALID_FROM_DT As Policy_ValidFrom_Date,ccpr.VALID_TO_DT 
from $SchemaName$.COMMERCIAL_AGRMNT ca 
join $SchemaName$.FINANCIAL_SERVICES_ROLE FSR on FSR.CNTXT_FINCL_SRVC_AGREE_ID=ca.agree_id and fsr.TYP_ID=246 --Main Insured
join $SchemaName$.CONTACT_PREFERENCE CP on CP.SUBJ_ROLE_PLAY_ID=fsr.ROLE_PLAY_ID and CP.TYP_ID=937 --Main Insured Contact 
join $SchemaName$.CONTACT_CONTACT_POINT_RLSP ccpr on cp.CNTCT_ID=ccpr.CNTCT_ID and CcpR.NATR_ID=669 --Main Insured Address
join $SchemaName$.POSTAL_ADDRESS PA on PA.CNTCT_PNT_ID =CCPR.CNTCT_PNT_ID and PA.TYP_ID =116
where CA.EXTRNL_REF='$PolicyNumber$'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</si>
  <si>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 as PolicySummary_PolicyNumber,PA.ADDR As PrimaryContact_AddressLine,PA.LINE_2_ADDR as AddressLine2,PA.LINE_3_ADDR as AddressLine3,
PA.CITY_NM As PrimaryContact_City,PA.REG_CD As PrimaryContact_State,PA.POST_CD As PrimaryContact_Zip,PA.SUBREGION_NM As PrimaryContact_Country,
PA.CNTRY_CD As PrimaryContact_County,ccpr.EFF_FROM_DT As Policy_Eff_Date,ccpr.EFF_TO_DT,ccpr.VALID_FROM_DT As Policy_ValidFrom_Date,ccpr.VALID_TO_DT 
from $SchemaName$.COMMERCIAL_AGRMNT ca 
join $SchemaName$.FINANCIAL_SERVICES_ROLE FSR on FSR.CNTXT_FINCL_SRVC_AGREE_ID=ca.agree_id and fsr.TYP_ID=246 --Main Insured
join $SchemaName$.CONTACT_PREFERENCE CP on CP.SUBJ_ROLE_PLAY_ID=fsr.ROLE_PLAY_ID and CP.TYP_ID=937 --Main Insured Contact 
join $SchemaName$.CONTACT_CONTACT_POINT_RLSP ccpr on cp.CNTCT_ID=ccpr.CNTCT_ID and CcpR.NATR_ID=669 --Main Insured Address
join $SchemaName$.POSTAL_ADDRESS PA on PA.CNTCT_PNT_ID =CCPR.CNTCT_PNT_ID and PA.TYP_ID =116
where CA.EXTRNL_REF='$PolicyNumber$' 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</si>
  <si>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CA.EXTRNL_REF,EA.NODE_TXT as PrimaryContact_PrimaryEmail,ccpr.EFF_FROM_DT,ccpr.EFF_TO_DT,ccpr.VALID_FROM_DT,ccpr.VALID_TO_DT 
from $SchemaName$.COMMERCIAL_AGRMNT ca 
join $SchemaName$.financial_services_role fsr on FSR.CNTXT_FINCL_SRVC_AGREE_ID=ca.agree_id and fsr.TYP_ID=246 --Main Insured
join $SchemaName$.CONTACT_PREFERENCE CP on CP.SUBJ_ROLE_PLAY_ID=fsr.ROLE_PLAY_ID and CP.TYP_ID=937 --Main Insured Contact
join $SchemaName$.CONTACT_CONTACT_POINT_RLSP ccpr on cp.CNTCT_ID=ccpr.CNTCT_ID and CcpR.NATR_ID=672 --Main Insured Primary Email
join $SchemaName$.ELECTRONIC_ADDRESS EA on EA.CNTCT_PNT_ID=ccpr.CNTCT_PNT_ID and EA.TYP_ID=55 --Email Address
where CA.EXTRNL_REF='$PolicyNumber$' 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</si>
  <si>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CA.EXTRNL_REF,EA.NODE_TXT as PrimaryContact_SecondaryEmail,ccpr.EFF_FROM_DT,ccpr.EFF_TO_DT,ccpr.VALID_FROM_DT,ccpr.VALID_TO_DT 
from $SchemaName$.COMMERCIAL_AGRMNT ca 
join $SchemaName$.financial_services_role fsr on FSR.CNTXT_FINCL_SRVC_AGREE_ID=ca.agree_id and fsr.TYP_ID=246 --Main Insured
join $SchemaName$.CONTACT_PREFERENCE CP on CP.SUBJ_ROLE_PLAY_ID=fsr.ROLE_PLAY_ID and CP.TYP_ID=937 --Main Insured Contact
join $SchemaName$.CONTACT_CONTACT_POINT_RLSP ccpr on cp.CNTCT_ID=ccpr.CNTCT_ID and CcpR.NATR_ID=673 --Main Insured Secondary Email
join $SchemaName$.ELECTRONIC_ADDRESS EA on EA.CNTCT_PNT_ID=ccpr.CNTCT_PNT_ID and EA.TYP_ID=55 --Email Address
where CA.EXTRNL_REF='$PolicyNumber$' 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</si>
  <si>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 ,TN.LOCAL_NUM as PrimaryContact_PhoneNumber,ccpr.EFF_FROM_DT,ccpr.EFF_TO_DT,ccpr.VALID_FROM_DT,ccpr.VALID_TO_DT 
from $SchemaName$.COMMERCIAL_AGRMNT ca 
join $SchemaName$.financial_services_role fsr on FSR.CNTXT_FINCL_SRVC_AGREE_ID=ca.agree_id and fsr.TYP_ID=246 --Main Insured
join $SchemaName$.CONTACT_PREFERENCE CP on CP.SUBJ_ROLE_PLAY_ID=fsr.ROLE_PLAY_ID and CP.TYP_ID=937 --Main Insured Contact
join $SchemaName$.CONTACT_CONTACT_POINT_RLSP ccpr on cp.CNTCT_ID=ccpr.CNTCT_ID and CcpR.NATR_ID=671 --Main Insured Phone Number
join $SchemaName$.TELEPHONE_NUMBER TN on TN.CNTCT_PNT_ID=ccpr.CNTCT_PNT_ID and TN.TYP_ID=111 --Phone Number
where CA.EXTRNL_REF='$PolicyNumber$' 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</si>
  <si>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CA.EXTRNL_REF,TN.LOCAL_NUM as PrimaryContact_FaxNumber,ccpr.EFF_FROM_DT,ccpr.EFF_TO_DT,ccpr.VALID_FROM_DT,ccpr.VALID_TO_DT 
from $SchemaName$.COMMERCIAL_AGRMNT ca 
join $SchemaName$.financial_services_role fsr on FSR.CNTXT_FINCL_SRVC_AGREE_ID=ca.agree_id and fsr.TYP_ID=246 --Main Insured
join $SchemaName$.CONTACT_PREFERENCE CP on CP.SUBJ_ROLE_PLAY_ID=fsr.ROLE_PLAY_ID and CP.TYP_ID=937 --Main Insured Contact
join $SchemaName$.CONTACT_CONTACT_POINT_RLSP ccpr on cp.CNTCT_ID=ccpr.CNTCT_ID and CcpR.NATR_ID=670 --Main Insured Fax Number
join $SchemaName$.TELEPHONE_NUMBER TN on TN.CNTCT_PNT_ID=ccpr.CNTCT_PNT_ID and TN.TYP_ID=111 --Phone Number
where CA.EXTRNL_REF='$PolicyNumber$' 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</si>
  <si>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2017-05-03 00:01:00</t>
  </si>
  <si>
    <t>2017-05-03 12:25:47.244</t>
  </si>
  <si>
    <t>8965697848</t>
  </si>
  <si>
    <t>108963722373128</t>
  </si>
  <si>
    <t>41WECAA4CUU</t>
  </si>
  <si>
    <t>2017-05-03 13:03:35.275</t>
  </si>
  <si>
    <t>select CA.EXTRNL_REF as PolicySummary_PolicyNumber1,PA.ADDR As AlternatePayer_AddressLine,PA.CITY_NM As AlternatePayer_City,PA.REG_CD As AlternatePayer_State,PA.POST_CD As AlternatePayer_Zip,ccpr.EFF_FROM_DT As Policy_Eff_Date1,ccpr.EFF_TO_DT,ccpr.VALID_FROM_DT As Policy_ValidFrom_Date1,ccpr.VALID_TO_DT 
from $SchemaName$.COMMERCIAL_AGRMNT ca 
join $SchemaName$.financial_services_role fsr on FSR.CNTXT_FINCL_SRVC_AGREE_ID=ca.agree_id and fsr.TYP_ID=122--Premium Payor
join $SchemaName$.CONTACT_PREFERENCE CP on CP.SUBJ_ROLE_PLAY_ID=fsr.ROLE_PLAY_ID and CP.TYP_ID=938 --Premium Payor Contact
join $SchemaName$.CONTACT_CONTACT_POINT_RLSP ccpr on cp.CNTCT_ID=ccpr.CNTCT_ID and CcpR.NATR_ID=674 --Premium Payor Address
join $SchemaName$.POSTAL_ADDRESS PA on PA.CNTCT_PNT_ID =CCPR.CNTCT_PNT_ID and PA.TYP_ID =116
where CA.EXTRNL_REF='$PolicyNumber$' 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</si>
  <si>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 as PolicySummary_PolicyNumber,PA.ADDR As ContactAddress1,PA.LINE_2_ADDR ,PA.LINE_3_ADDR,PA.CITY_NM As ContactCity,PA.REG_CD As ContactState,PA.POST_CD As ContactZip,PA.SUBREGION_NM,
PA.CNTRY_CD As ContactCountry,ccpr.EFF_FROM_DT As Account_Eff_Date,ccpr.EFF_TO_DT,ccpr.VALID_FROM_DT As Account_ValidFrom_Date,ccpr.VALID_TO_DT 
from $SchemaName$.COMMERCIAL_AGRMNT ca 
join $SchemaName$.financial_services_role fsr on FSR.CNTXT_FINCL_SRVC_AGREE_ID=ca.agree_id and fsr.TYP_ID=802 --Billing Contact
join $SchemaName$.CONTACT_PREFERENCE CP on CP.SUBJ_ROLE_PLAY_ID=fsr.ROLE_PLAY_ID and CP.TYP_ID=989 --Account Contact
join $SchemaName$.CONTACT_CONTACT_POINT_RLSP ccpr on cp.CNTCT_ID=ccpr.CNTCT_ID and CcpR.NATR_ID=634 --Account Contact Address
join $SchemaName$.POSTAL_ADDRESS PA on PA.CNTCT_PNT_ID =CCPR.CNTCT_PNT_ID and PA.TYP_ID =116
where CA.EXTRNL_REF='$PolicyNumber$'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</si>
  <si>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Select CA.EXTRNL_REF as PolicySummary_PolicyNumber,PA.ADDR As ContactAddress1,PA.LINE_2_ADDR ,PA.LINE_3_ADDR,PA.CITY_NM As ContactCity,PA.REG_CD As ContactState,PA.POST_CD As ContactZip,PA.SUBREGION_NM As ContactCounty,
PA.CNTRY_CD ,ccpr.EFF_FROM_DT As Account_Eff_Date,ccpr.EFF_TO_DT,ccpr.VALID_FROM_DT As Account_ValidFrom_Date,ccpr.VALID_TO_DT 
from $SchemaName$.COMMERCIAL_AGRMNT ca 
join $SchemaName$.financial_services_role fsr on FSR.CNTXT_FINCL_SRVC_AGREE_ID=ca.agree_id and fsr.TYP_ID=802 --Billing Contact
join $SchemaName$.CONTACT_PREFERENCE CP on CP.SUBJ_ROLE_PLAY_ID=fsr.ROLE_PLAY_ID and CP.TYP_ID=989 --Account Contact
join $SchemaName$.CONTACT_CONTACT_POINT_RLSP ccpr on cp.CNTCT_ID=ccpr.CNTCT_ID and CcpR.NATR_ID=634 --Account Contact Address
join $SchemaName$.POSTAL_ADDRESS PA on PA.CNTCT_PNT_ID =CCPR.CNTCT_PNT_ID and PA.TYP_ID =116
where CA.EXTRNL_REF='$PolicyNumber$' and TO_CHAR(CA.EFF_TO_DT,'MM/DD/YYYY')='12/31/9999' 
and TO_CHAR(CA.VALID_TO_DT,'MM/DD/YYYY')='12/31/9999' and TO_CHAR(cp.EFF_TO_DT,'MM/DD/YYYY')='12/31/9999' 
and TO_CHAR(cp.VALID_TO_DT,'MM/DD/YYYY')='12/31/9999' and TO_CHAR(ccpr.EFF_TO_DT,'MM/DD/YYYY')='12/31/9999' 
and TO_CHAR(ccpr.VALID_TO_DT,'MM/DD/YYYY')='12/31/9999'</t>
  </si>
  <si>
    <t>450603546988576</t>
  </si>
  <si>
    <t>41WECAA4CV0</t>
  </si>
  <si>
    <t>2017-05-03 13:18:27.404</t>
  </si>
  <si>
    <t>808267688654138</t>
  </si>
  <si>
    <t>41WECAA4CVU</t>
  </si>
  <si>
    <t>2017-05-03 14:38:08.304</t>
  </si>
  <si>
    <t>8965697846</t>
  </si>
  <si>
    <t>285861397327982</t>
  </si>
  <si>
    <t>41WECAA4CX0</t>
  </si>
  <si>
    <t>2017-05-03 16:09:36.607</t>
  </si>
  <si>
    <t>102527224709077</t>
  </si>
  <si>
    <t>41WECAA4CXG</t>
  </si>
  <si>
    <t>41WECAA4CY2</t>
  </si>
  <si>
    <t>2017-05-03 17:13:44.572</t>
  </si>
  <si>
    <t>8965697851</t>
  </si>
  <si>
    <t>105738681820666</t>
  </si>
  <si>
    <t>41WECAA4CYH</t>
  </si>
  <si>
    <t>41WECAA4CYJ</t>
  </si>
  <si>
    <t>2017-05-03 17:35:54.749</t>
  </si>
  <si>
    <t>473243667618548</t>
  </si>
  <si>
    <t>46WECAA4CZ3</t>
  </si>
  <si>
    <t>502 S 6TH ST</t>
  </si>
  <si>
    <t>CLARK</t>
  </si>
  <si>
    <t>AR</t>
  </si>
  <si>
    <t>2017-05-03 18:04:17.78</t>
  </si>
  <si>
    <t>499278045578799</t>
  </si>
  <si>
    <t>41WECAA4CZI</t>
  </si>
  <si>
    <t>2017-05-03 18:23:37.867</t>
  </si>
  <si>
    <t>618718853120896</t>
  </si>
  <si>
    <t>41WECAA4CZY</t>
  </si>
  <si>
    <t>2017-05-03 18:48:22.63</t>
  </si>
  <si>
    <t>TC_07_R2_ODS_AMP_Policy_Shell_cancel</t>
  </si>
  <si>
    <t>149388290208657</t>
  </si>
  <si>
    <t>46KDEZT2960</t>
  </si>
  <si>
    <t>eleMTPayment</t>
  </si>
  <si>
    <t>52051</t>
  </si>
  <si>
    <t>TC_08_R2_ODS_AMP_Policy_Shell_Reinstatement</t>
  </si>
  <si>
    <t>KDF</t>
  </si>
  <si>
    <t>edtMTTranPreAmt</t>
  </si>
  <si>
    <t>149388852643111</t>
  </si>
  <si>
    <t>46KDFZT3129</t>
  </si>
  <si>
    <t>51993</t>
  </si>
  <si>
    <t>5287,5289,5288</t>
  </si>
  <si>
    <t>TC_09_R2_ODS_AMP_Policy_Shell_Endorsement_Is_this_a_Premium_Bearing Endorsement_Check</t>
  </si>
  <si>
    <t>149388966266434</t>
  </si>
  <si>
    <t>46KDFZT3130</t>
  </si>
  <si>
    <t>btnMTPremRet</t>
  </si>
  <si>
    <t>52221</t>
  </si>
  <si>
    <t>TC_12_R2_ODS_AMP_Policy_Shell_Audit</t>
  </si>
  <si>
    <t>Verify458Service26</t>
  </si>
  <si>
    <t>Verify458Service27</t>
  </si>
  <si>
    <t>Verify458Service28</t>
  </si>
  <si>
    <t>Verify458Service29</t>
  </si>
  <si>
    <t>KDG</t>
  </si>
  <si>
    <t>149389177931087</t>
  </si>
  <si>
    <t>46KDGZT2789</t>
  </si>
  <si>
    <t>52143</t>
  </si>
  <si>
    <t>TC_13_R2_ODS_AMP_Policy_Shell_Do_Not_Renew-UW</t>
  </si>
  <si>
    <t>KDH</t>
  </si>
  <si>
    <t>149389245474026</t>
  </si>
  <si>
    <t>46KDHZT4726</t>
  </si>
  <si>
    <t>52145</t>
  </si>
  <si>
    <t>TC_14_R2_ODS_AMP_Policy_Shell_Release_Non_Renewal</t>
  </si>
  <si>
    <t>KDI</t>
  </si>
  <si>
    <t>149389308829391</t>
  </si>
  <si>
    <t>41KDIZV9600</t>
  </si>
  <si>
    <t>52237</t>
  </si>
  <si>
    <t>TC_15_R2_ODS_AMP_Policy_Shell_renewal_quote</t>
  </si>
  <si>
    <t>TC_16_R2_ODS_AMP_Policy_Shell_renewal_Issue</t>
  </si>
  <si>
    <t>TC_15_R2_ODS_Manual_Policy_Shell_renewal_Issue</t>
  </si>
  <si>
    <t>KDJ</t>
  </si>
  <si>
    <t>149389390518622</t>
  </si>
  <si>
    <t>41KDJZV9626</t>
  </si>
  <si>
    <t>00000052152</t>
  </si>
  <si>
    <t>52152</t>
  </si>
  <si>
    <t>149397767234936</t>
  </si>
  <si>
    <t>41KDAZV9373</t>
  </si>
  <si>
    <t>00000052337</t>
  </si>
  <si>
    <t>TC61</t>
  </si>
  <si>
    <t>TC62</t>
  </si>
  <si>
    <t>TC63</t>
  </si>
  <si>
    <t>TC64</t>
  </si>
  <si>
    <t>52337</t>
  </si>
  <si>
    <t>TC_18_ODS_R2_458_Data_validation</t>
  </si>
  <si>
    <t>3095,3113,3114,3116,3096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</si>
</sst>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[Red]0"/>
  </numFmts>
  <fonts count="14" x14ac:knownFonts="1">
    <font>
      <sz val="11"/>
      <color theme="1"/>
      <name val="Calibri"/>
      <family val="2"/>
      <scheme val="minor"/>
    </font>
    <font>
      <b/>
      <sz val="11"/>
      <color indexed="62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333A3F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9"/>
      <color rgb="FF222222"/>
      <name val="Consolas"/>
      <family val="3"/>
    </font>
    <font>
      <b/>
      <sz val="11"/>
      <color rgb="FFFFFF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7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1" fillId="2" borderId="0" xfId="0" applyFont="1" applyFill="1" applyBorder="1" applyAlignment="1">
      <alignment horizontal="left"/>
    </xf>
    <xf numFmtId="0" fontId="0" fillId="2" borderId="1" xfId="0" applyFont="1" applyFill="1" applyBorder="1"/>
    <xf numFmtId="0" fontId="2" fillId="2" borderId="1" xfId="0" applyFont="1" applyFill="1" applyBorder="1" applyAlignment="1">
      <alignment horizontal="left"/>
    </xf>
    <xf numFmtId="0" fontId="0" fillId="2" borderId="1" xfId="0" applyNumberFormat="1" applyFill="1" applyBorder="1"/>
    <xf numFmtId="0" fontId="3" fillId="2" borderId="1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1" xfId="0" applyFont="1" applyFill="1" applyBorder="1"/>
    <xf numFmtId="0" fontId="3" fillId="2" borderId="1" xfId="0" applyNumberFormat="1" applyFont="1" applyFill="1" applyBorder="1"/>
    <xf numFmtId="0" fontId="0" fillId="2" borderId="1" xfId="0" quotePrefix="1" applyNumberFormat="1" applyFill="1" applyBorder="1"/>
    <xf numFmtId="0" fontId="0" fillId="0" borderId="1" xfId="0" applyBorder="1"/>
    <xf numFmtId="0" fontId="0" fillId="2" borderId="2" xfId="0" applyFill="1" applyBorder="1"/>
    <xf numFmtId="0" fontId="0" fillId="2" borderId="1" xfId="0" quotePrefix="1" applyFill="1" applyBorder="1"/>
    <xf numFmtId="0" fontId="0" fillId="2" borderId="0" xfId="0" applyFill="1"/>
    <xf numFmtId="0" fontId="0" fillId="0" borderId="1" xfId="0" applyBorder="1" applyAlignment="1">
      <alignment horizontal="left"/>
    </xf>
    <xf numFmtId="0" fontId="0" fillId="0" borderId="0" xfId="0" applyAlignment="1">
      <alignment vertical="top"/>
    </xf>
    <xf numFmtId="0" fontId="0" fillId="0" borderId="0" xfId="0" quotePrefix="1" applyAlignment="1">
      <alignment horizontal="left" vertical="top"/>
    </xf>
    <xf numFmtId="0" fontId="1" fillId="2" borderId="1" xfId="0" applyFont="1" applyFill="1" applyBorder="1" applyAlignment="1">
      <alignment horizontal="left"/>
    </xf>
    <xf numFmtId="0" fontId="0" fillId="0" borderId="1" xfId="0" quotePrefix="1" applyBorder="1"/>
    <xf numFmtId="0" fontId="5" fillId="2" borderId="1" xfId="0" applyFont="1" applyFill="1" applyBorder="1"/>
    <xf numFmtId="0" fontId="0" fillId="0" borderId="1" xfId="0" quotePrefix="1" applyNumberFormat="1" applyBorder="1"/>
    <xf numFmtId="0" fontId="6" fillId="2" borderId="1" xfId="0" applyFont="1" applyFill="1" applyBorder="1" applyAlignment="1">
      <alignment horizontal="left"/>
    </xf>
    <xf numFmtId="0" fontId="4" fillId="0" borderId="1" xfId="0" quotePrefix="1" applyFont="1" applyBorder="1" applyAlignment="1">
      <alignment vertical="center"/>
    </xf>
    <xf numFmtId="0" fontId="4" fillId="0" borderId="0" xfId="0" quotePrefix="1" applyFont="1" applyAlignment="1">
      <alignment vertical="center"/>
    </xf>
    <xf numFmtId="0" fontId="0" fillId="0" borderId="1" xfId="0" applyBorder="1" applyAlignment="1">
      <alignment vertical="top"/>
    </xf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4" fillId="0" borderId="1" xfId="0" quotePrefix="1" applyFont="1" applyBorder="1"/>
    <xf numFmtId="0" fontId="0" fillId="2" borderId="1" xfId="0" applyNumberFormat="1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0" fillId="2" borderId="1" xfId="0" quotePrefix="1" applyFill="1" applyBorder="1" applyAlignment="1">
      <alignment horizontal="left"/>
    </xf>
    <xf numFmtId="0" fontId="7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164" fontId="0" fillId="2" borderId="1" xfId="0" applyNumberFormat="1" applyFont="1" applyFill="1" applyBorder="1"/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/>
    <xf numFmtId="164" fontId="8" fillId="0" borderId="1" xfId="0" quotePrefix="1" applyNumberFormat="1" applyFont="1" applyBorder="1" applyAlignment="1">
      <alignment horizontal="right" vertical="center" wrapText="1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/>
    <xf numFmtId="0" fontId="0" fillId="2" borderId="0" xfId="0" applyFill="1" applyAlignment="1">
      <alignment horizontal="left"/>
    </xf>
    <xf numFmtId="0" fontId="0" fillId="2" borderId="0" xfId="0" applyFill="1" applyAlignment="1"/>
    <xf numFmtId="0" fontId="2" fillId="2" borderId="1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left"/>
    </xf>
    <xf numFmtId="0" fontId="0" fillId="2" borderId="3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9" fillId="2" borderId="1" xfId="1" applyFill="1" applyBorder="1"/>
    <xf numFmtId="0" fontId="0" fillId="2" borderId="1" xfId="0" applyFill="1" applyBorder="1" applyAlignment="1">
      <alignment horizontal="center" wrapText="1"/>
    </xf>
    <xf numFmtId="0" fontId="0" fillId="2" borderId="1" xfId="0" quotePrefix="1" applyFill="1" applyBorder="1" applyAlignment="1"/>
    <xf numFmtId="0" fontId="0" fillId="0" borderId="1" xfId="0" applyBorder="1" applyAlignment="1"/>
    <xf numFmtId="0" fontId="0" fillId="2" borderId="1" xfId="0" quotePrefix="1" applyFont="1" applyFill="1" applyBorder="1" applyAlignment="1">
      <alignment horizontal="center"/>
    </xf>
    <xf numFmtId="0" fontId="0" fillId="2" borderId="1" xfId="0" quotePrefix="1" applyFont="1" applyFill="1" applyBorder="1" applyAlignment="1">
      <alignment horizontal="left"/>
    </xf>
    <xf numFmtId="0" fontId="0" fillId="2" borderId="5" xfId="0" quotePrefix="1" applyFill="1" applyBorder="1"/>
    <xf numFmtId="0" fontId="0" fillId="2" borderId="5" xfId="0" applyFill="1" applyBorder="1"/>
    <xf numFmtId="0" fontId="0" fillId="0" borderId="5" xfId="0" applyBorder="1"/>
    <xf numFmtId="0" fontId="0" fillId="0" borderId="5" xfId="0" applyBorder="1" applyAlignment="1"/>
    <xf numFmtId="0" fontId="0" fillId="2" borderId="6" xfId="0" applyFill="1" applyBorder="1"/>
    <xf numFmtId="0" fontId="0" fillId="2" borderId="5" xfId="0" applyFill="1" applyBorder="1" applyAlignment="1">
      <alignment horizontal="left"/>
    </xf>
    <xf numFmtId="0" fontId="3" fillId="2" borderId="3" xfId="0" applyFont="1" applyFill="1" applyBorder="1"/>
    <xf numFmtId="0" fontId="3" fillId="3" borderId="1" xfId="0" applyFont="1" applyFill="1" applyBorder="1"/>
    <xf numFmtId="0" fontId="0" fillId="2" borderId="5" xfId="0" applyFill="1" applyBorder="1" applyAlignment="1">
      <alignment wrapText="1"/>
    </xf>
    <xf numFmtId="0" fontId="9" fillId="0" borderId="1" xfId="1" applyBorder="1" applyAlignment="1">
      <alignment vertical="top"/>
    </xf>
    <xf numFmtId="0" fontId="0" fillId="2" borderId="5" xfId="0" applyFill="1" applyBorder="1" applyAlignment="1"/>
    <xf numFmtId="0" fontId="0" fillId="0" borderId="0" xfId="0" applyAlignment="1"/>
    <xf numFmtId="0" fontId="0" fillId="2" borderId="5" xfId="0" applyNumberFormat="1" applyFill="1" applyBorder="1"/>
    <xf numFmtId="0" fontId="0" fillId="0" borderId="1" xfId="0" quotePrefix="1" applyFill="1" applyBorder="1"/>
    <xf numFmtId="0" fontId="0" fillId="0" borderId="1" xfId="0" applyFont="1" applyFill="1" applyBorder="1"/>
    <xf numFmtId="0" fontId="2" fillId="0" borderId="1" xfId="0" applyFont="1" applyFill="1" applyBorder="1" applyAlignment="1">
      <alignment horizontal="left"/>
    </xf>
    <xf numFmtId="0" fontId="3" fillId="0" borderId="1" xfId="0" applyFont="1" applyFill="1" applyBorder="1"/>
    <xf numFmtId="0" fontId="1" fillId="0" borderId="1" xfId="0" applyFont="1" applyFill="1" applyBorder="1" applyAlignment="1">
      <alignment horizontal="left"/>
    </xf>
    <xf numFmtId="0" fontId="0" fillId="0" borderId="0" xfId="0" applyFill="1"/>
    <xf numFmtId="0" fontId="0" fillId="0" borderId="1" xfId="0" applyFill="1" applyBorder="1"/>
    <xf numFmtId="0" fontId="0" fillId="0" borderId="1" xfId="0" applyNumberFormat="1" applyFill="1" applyBorder="1"/>
    <xf numFmtId="0" fontId="0" fillId="0" borderId="2" xfId="0" applyFill="1" applyBorder="1"/>
    <xf numFmtId="0" fontId="0" fillId="0" borderId="4" xfId="0" applyFill="1" applyBorder="1"/>
    <xf numFmtId="0" fontId="0" fillId="0" borderId="8" xfId="0" applyFill="1" applyBorder="1"/>
    <xf numFmtId="0" fontId="0" fillId="0" borderId="7" xfId="0" applyFill="1" applyBorder="1"/>
    <xf numFmtId="0" fontId="0" fillId="0" borderId="0" xfId="0" applyFill="1" applyBorder="1"/>
    <xf numFmtId="0" fontId="9" fillId="0" borderId="0" xfId="1" applyFill="1" applyBorder="1"/>
    <xf numFmtId="0" fontId="10" fillId="2" borderId="0" xfId="0" applyFont="1" applyFill="1"/>
    <xf numFmtId="0" fontId="11" fillId="3" borderId="9" xfId="0" applyFont="1" applyFill="1" applyBorder="1" applyAlignment="1">
      <alignment vertical="center"/>
    </xf>
    <xf numFmtId="0" fontId="11" fillId="3" borderId="10" xfId="0" applyFont="1" applyFill="1" applyBorder="1" applyAlignment="1">
      <alignment vertical="center"/>
    </xf>
    <xf numFmtId="0" fontId="0" fillId="0" borderId="1" xfId="0" applyFill="1" applyBorder="1" applyAlignment="1">
      <alignment horizontal="left"/>
    </xf>
    <xf numFmtId="0" fontId="0" fillId="0" borderId="1" xfId="0" quotePrefix="1" applyFill="1" applyBorder="1" applyAlignment="1">
      <alignment horizontal="left"/>
    </xf>
    <xf numFmtId="0" fontId="0" fillId="0" borderId="0" xfId="0" quotePrefix="1" applyFill="1"/>
    <xf numFmtId="0" fontId="0" fillId="0" borderId="0" xfId="0" applyFill="1" applyAlignment="1">
      <alignment vertical="top"/>
    </xf>
    <xf numFmtId="0" fontId="0" fillId="0" borderId="0" xfId="0" applyFill="1" applyAlignment="1"/>
    <xf numFmtId="0" fontId="0" fillId="0" borderId="0" xfId="0" quotePrefix="1" applyFill="1" applyBorder="1"/>
    <xf numFmtId="0" fontId="0" fillId="0" borderId="5" xfId="0" applyFill="1" applyBorder="1"/>
    <xf numFmtId="0" fontId="0" fillId="0" borderId="1" xfId="0" quotePrefix="1" applyNumberFormat="1" applyFill="1" applyBorder="1"/>
    <xf numFmtId="0" fontId="0" fillId="0" borderId="1" xfId="0" applyFill="1" applyBorder="1" applyAlignment="1">
      <alignment vertical="top"/>
    </xf>
    <xf numFmtId="0" fontId="0" fillId="0" borderId="0" xfId="0" quotePrefix="1" applyFill="1" applyAlignment="1">
      <alignment horizontal="left" vertical="top"/>
    </xf>
    <xf numFmtId="0" fontId="5" fillId="0" borderId="0" xfId="0" quotePrefix="1" applyFont="1" applyFill="1"/>
    <xf numFmtId="0" fontId="0" fillId="0" borderId="1" xfId="0" applyFill="1" applyBorder="1" applyAlignment="1">
      <alignment wrapText="1"/>
    </xf>
    <xf numFmtId="0" fontId="0" fillId="0" borderId="0" xfId="0" quotePrefix="1"/>
    <xf numFmtId="0" fontId="3" fillId="2" borderId="0" xfId="0" applyFont="1" applyFill="1" applyBorder="1"/>
    <xf numFmtId="0" fontId="0" fillId="2" borderId="0" xfId="0" quotePrefix="1" applyFill="1" applyBorder="1"/>
    <xf numFmtId="0" fontId="0" fillId="2" borderId="1" xfId="0" applyFill="1" applyBorder="1" applyAlignment="1">
      <alignment vertical="top"/>
    </xf>
    <xf numFmtId="0" fontId="0" fillId="2" borderId="1" xfId="0" quotePrefix="1" applyFill="1" applyBorder="1" applyAlignment="1">
      <alignment vertical="top"/>
    </xf>
    <xf numFmtId="0" fontId="12" fillId="0" borderId="1" xfId="0" applyFont="1" applyBorder="1"/>
    <xf numFmtId="0" fontId="0" fillId="3" borderId="1" xfId="0" applyFill="1" applyBorder="1"/>
    <xf numFmtId="0" fontId="0" fillId="3" borderId="0" xfId="0" applyFill="1"/>
    <xf numFmtId="0" fontId="0" fillId="0" borderId="1" xfId="0" applyBorder="1" applyAlignment="1">
      <alignment horizontal="left" vertical="top"/>
    </xf>
    <xf numFmtId="14" fontId="0" fillId="0" borderId="1" xfId="0" quotePrefix="1" applyNumberFormat="1" applyFill="1" applyBorder="1"/>
    <xf numFmtId="0" fontId="3" fillId="2" borderId="3" xfId="0" applyFont="1" applyFill="1" applyBorder="1" applyAlignment="1">
      <alignment horizontal="center"/>
    </xf>
    <xf numFmtId="0" fontId="0" fillId="2" borderId="3" xfId="0" applyFill="1" applyBorder="1"/>
    <xf numFmtId="0" fontId="0" fillId="0" borderId="3" xfId="0" applyFill="1" applyBorder="1"/>
    <xf numFmtId="0" fontId="0" fillId="2" borderId="3" xfId="0" applyFill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6" xfId="0" applyFill="1" applyBorder="1"/>
    <xf numFmtId="0" fontId="0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top" wrapText="1"/>
    </xf>
    <xf numFmtId="0" fontId="3" fillId="5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0" fillId="2" borderId="0" xfId="0" applyFill="1" applyAlignment="1">
      <alignment horizontal="center" vertical="top" wrapText="1"/>
    </xf>
    <xf numFmtId="0" fontId="0" fillId="5" borderId="1" xfId="0" applyFill="1" applyBorder="1"/>
    <xf numFmtId="14" fontId="0" fillId="2" borderId="1" xfId="0" quotePrefix="1" applyNumberFormat="1" applyFill="1" applyBorder="1"/>
    <xf numFmtId="0" fontId="0" fillId="5" borderId="1" xfId="0" applyFill="1" applyBorder="1" applyAlignment="1">
      <alignment wrapText="1"/>
    </xf>
    <xf numFmtId="0" fontId="0" fillId="5" borderId="0" xfId="0" applyFill="1"/>
    <xf numFmtId="0" fontId="0" fillId="5" borderId="6" xfId="0" applyFill="1" applyBorder="1"/>
    <xf numFmtId="0" fontId="0" fillId="0" borderId="1" xfId="0" quotePrefix="1" applyBorder="1" applyAlignment="1">
      <alignment horizontal="left" vertical="top"/>
    </xf>
    <xf numFmtId="0" fontId="0" fillId="4" borderId="1" xfId="0" applyFill="1" applyBorder="1"/>
    <xf numFmtId="0" fontId="0" fillId="3" borderId="1" xfId="0" quotePrefix="1" applyFill="1" applyBorder="1"/>
    <xf numFmtId="0" fontId="0" fillId="6" borderId="1" xfId="0" applyFill="1" applyBorder="1"/>
    <xf numFmtId="0" fontId="0" fillId="6" borderId="0" xfId="0" applyFill="1" applyBorder="1"/>
    <xf numFmtId="0" fontId="0" fillId="2" borderId="0" xfId="0" quotePrefix="1" applyFill="1" applyBorder="1" applyAlignment="1">
      <alignment horizontal="center" vertical="center"/>
    </xf>
    <xf numFmtId="0" fontId="3" fillId="7" borderId="1" xfId="0" applyFont="1" applyFill="1" applyBorder="1"/>
    <xf numFmtId="0" fontId="3" fillId="7" borderId="0" xfId="0" applyFont="1" applyFill="1"/>
    <xf numFmtId="0" fontId="2" fillId="3" borderId="1" xfId="0" applyFont="1" applyFill="1" applyBorder="1" applyAlignment="1">
      <alignment horizontal="left"/>
    </xf>
    <xf numFmtId="0" fontId="2" fillId="8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3" fillId="8" borderId="1" xfId="0" applyFont="1" applyFill="1" applyBorder="1"/>
    <xf numFmtId="0" fontId="3" fillId="8" borderId="11" xfId="0" applyFont="1" applyFill="1" applyBorder="1"/>
    <xf numFmtId="0" fontId="2" fillId="5" borderId="11" xfId="0" applyFont="1" applyFill="1" applyBorder="1" applyAlignment="1">
      <alignment horizontal="left"/>
    </xf>
    <xf numFmtId="0" fontId="0" fillId="0" borderId="1" xfId="0" quotePrefix="1" applyFill="1" applyBorder="1" applyAlignment="1">
      <alignment horizontal="left" vertical="top"/>
    </xf>
    <xf numFmtId="0" fontId="4" fillId="0" borderId="1" xfId="0" applyFont="1" applyFill="1" applyBorder="1"/>
    <xf numFmtId="0" fontId="13" fillId="0" borderId="1" xfId="0" applyFont="1" applyFill="1" applyBorder="1"/>
    <xf numFmtId="0" fontId="0" fillId="5" borderId="1" xfId="0" applyFont="1" applyFill="1" applyBorder="1"/>
    <xf numFmtId="0" fontId="0" fillId="9" borderId="5" xfId="0" applyFill="1" applyBorder="1"/>
    <xf numFmtId="0" fontId="0" fillId="9" borderId="0" xfId="0" applyFill="1"/>
    <xf numFmtId="14" fontId="0" fillId="9" borderId="0" xfId="0" quotePrefix="1" applyNumberFormat="1" applyFill="1"/>
    <xf numFmtId="0" fontId="0" fillId="9" borderId="1" xfId="0" applyFont="1" applyFill="1" applyBorder="1"/>
    <xf numFmtId="16" fontId="0" fillId="9" borderId="0" xfId="0" quotePrefix="1" applyNumberFormat="1" applyFill="1"/>
    <xf numFmtId="0" fontId="0" fillId="9" borderId="1" xfId="0" applyFill="1" applyBorder="1"/>
    <xf numFmtId="0" fontId="0" fillId="9" borderId="1" xfId="0" quotePrefix="1" applyFill="1" applyBorder="1"/>
    <xf numFmtId="0" fontId="7" fillId="9" borderId="1" xfId="0" applyFont="1" applyFill="1" applyBorder="1" applyAlignment="1">
      <alignment horizontal="left"/>
    </xf>
    <xf numFmtId="0" fontId="2" fillId="9" borderId="1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testPC@thehartford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mailto:testIC@gmail.com" TargetMode="External"/><Relationship Id="rId1" Type="http://schemas.openxmlformats.org/officeDocument/2006/relationships/hyperlink" Target="mailto:testPC@thehartford.com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mailto:test2PC@thehartford.com" TargetMode="External"/><Relationship Id="rId13" Type="http://schemas.openxmlformats.org/officeDocument/2006/relationships/hyperlink" Target="mailto:test1_298@thehartford.com" TargetMode="External"/><Relationship Id="rId18" Type="http://schemas.openxmlformats.org/officeDocument/2006/relationships/hyperlink" Target="mailto:testweb_298Lien@thehartford.com" TargetMode="External"/><Relationship Id="rId26" Type="http://schemas.openxmlformats.org/officeDocument/2006/relationships/hyperlink" Target="mailto:test2_307Lien@thehartford.com" TargetMode="External"/><Relationship Id="rId3" Type="http://schemas.openxmlformats.org/officeDocument/2006/relationships/hyperlink" Target="mailto:testweb@thehartford.com" TargetMode="External"/><Relationship Id="rId21" Type="http://schemas.openxmlformats.org/officeDocument/2006/relationships/hyperlink" Target="mailto:testweb_299AP@thehartford.com" TargetMode="External"/><Relationship Id="rId7" Type="http://schemas.openxmlformats.org/officeDocument/2006/relationships/hyperlink" Target="mailto:test1PC@thehartford.com" TargetMode="External"/><Relationship Id="rId12" Type="http://schemas.openxmlformats.org/officeDocument/2006/relationships/hyperlink" Target="mailto:testweb_301Lien@thehartford.com" TargetMode="External"/><Relationship Id="rId17" Type="http://schemas.openxmlformats.org/officeDocument/2006/relationships/hyperlink" Target="mailto:test2_298Lien@thehartford.com" TargetMode="External"/><Relationship Id="rId25" Type="http://schemas.openxmlformats.org/officeDocument/2006/relationships/hyperlink" Target="mailto:test1_307Lien@thehartford.com" TargetMode="External"/><Relationship Id="rId2" Type="http://schemas.openxmlformats.org/officeDocument/2006/relationships/hyperlink" Target="mailto:test2@thehartford.com" TargetMode="External"/><Relationship Id="rId16" Type="http://schemas.openxmlformats.org/officeDocument/2006/relationships/hyperlink" Target="mailto:test1_298Lien@thehartford.com" TargetMode="External"/><Relationship Id="rId20" Type="http://schemas.openxmlformats.org/officeDocument/2006/relationships/hyperlink" Target="mailto:test2_299AP@thehartford.com" TargetMode="External"/><Relationship Id="rId1" Type="http://schemas.openxmlformats.org/officeDocument/2006/relationships/hyperlink" Target="mailto:test1@thehartford.com" TargetMode="External"/><Relationship Id="rId6" Type="http://schemas.openxmlformats.org/officeDocument/2006/relationships/hyperlink" Target="mailto:testweb_301@thehartford.com" TargetMode="External"/><Relationship Id="rId11" Type="http://schemas.openxmlformats.org/officeDocument/2006/relationships/hyperlink" Target="mailto:test2_301Lien@thehartford.com" TargetMode="External"/><Relationship Id="rId24" Type="http://schemas.openxmlformats.org/officeDocument/2006/relationships/hyperlink" Target="mailto:testweb_307PC@thehartford.com" TargetMode="External"/><Relationship Id="rId5" Type="http://schemas.openxmlformats.org/officeDocument/2006/relationships/hyperlink" Target="mailto:test2_301@thehartford.com" TargetMode="External"/><Relationship Id="rId15" Type="http://schemas.openxmlformats.org/officeDocument/2006/relationships/hyperlink" Target="mailto:testweb_298@thehartford.com" TargetMode="External"/><Relationship Id="rId23" Type="http://schemas.openxmlformats.org/officeDocument/2006/relationships/hyperlink" Target="mailto:test2_307PC@thehartford.com" TargetMode="External"/><Relationship Id="rId28" Type="http://schemas.openxmlformats.org/officeDocument/2006/relationships/printerSettings" Target="../printerSettings/printerSettings7.bin"/><Relationship Id="rId10" Type="http://schemas.openxmlformats.org/officeDocument/2006/relationships/hyperlink" Target="mailto:test1_301Lien@thehartford.com" TargetMode="External"/><Relationship Id="rId19" Type="http://schemas.openxmlformats.org/officeDocument/2006/relationships/hyperlink" Target="mailto:test_299AP1@thehartford.com" TargetMode="External"/><Relationship Id="rId4" Type="http://schemas.openxmlformats.org/officeDocument/2006/relationships/hyperlink" Target="mailto:test1_301@thehartford.com" TargetMode="External"/><Relationship Id="rId9" Type="http://schemas.openxmlformats.org/officeDocument/2006/relationships/hyperlink" Target="mailto:testwebPC@thehartford.com" TargetMode="External"/><Relationship Id="rId14" Type="http://schemas.openxmlformats.org/officeDocument/2006/relationships/hyperlink" Target="mailto:test2_298@thehartford.com" TargetMode="External"/><Relationship Id="rId22" Type="http://schemas.openxmlformats.org/officeDocument/2006/relationships/hyperlink" Target="mailto:test1_307PC@thehartford.com" TargetMode="External"/><Relationship Id="rId27" Type="http://schemas.openxmlformats.org/officeDocument/2006/relationships/hyperlink" Target="mailto:testweb_307Lien@thehartford.co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hyperlink" Target="mailto:testBillCont2@thehartford.com" TargetMode="External"/><Relationship Id="rId3" Type="http://schemas.openxmlformats.org/officeDocument/2006/relationships/hyperlink" Target="mailto:testBillcon@thehartford.com" TargetMode="External"/><Relationship Id="rId7" Type="http://schemas.openxmlformats.org/officeDocument/2006/relationships/hyperlink" Target="mailto:testBillcon@thehartford.com" TargetMode="External"/><Relationship Id="rId2" Type="http://schemas.openxmlformats.org/officeDocument/2006/relationships/hyperlink" Target="mailto:test2@thehartford.com" TargetMode="External"/><Relationship Id="rId1" Type="http://schemas.openxmlformats.org/officeDocument/2006/relationships/hyperlink" Target="mailto:test1@thehartford.com" TargetMode="External"/><Relationship Id="rId6" Type="http://schemas.openxmlformats.org/officeDocument/2006/relationships/hyperlink" Target="mailto:testBillCont2@thehartford.com" TargetMode="External"/><Relationship Id="rId5" Type="http://schemas.openxmlformats.org/officeDocument/2006/relationships/hyperlink" Target="mailto:testBillcon@thehartford.com" TargetMode="External"/><Relationship Id="rId4" Type="http://schemas.openxmlformats.org/officeDocument/2006/relationships/hyperlink" Target="mailto:testBillCont2@thehartford.com" TargetMode="External"/><Relationship Id="rId9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66"/>
  <sheetViews>
    <sheetView zoomScale="85" zoomScaleNormal="85" workbookViewId="0">
      <pane xSplit="5" ySplit="1" topLeftCell="Q41" activePane="bottomRight" state="frozen"/>
      <selection activeCell="T101" sqref="T101"/>
      <selection pane="topRight" activeCell="T101" sqref="T101"/>
      <selection pane="bottomLeft" activeCell="T101" sqref="T101"/>
      <selection pane="bottomRight" activeCell="V47" sqref="V47"/>
    </sheetView>
  </sheetViews>
  <sheetFormatPr defaultRowHeight="15" x14ac:dyDescent="0.25"/>
  <cols>
    <col min="1" max="1" width="7.140625" style="1" bestFit="1" customWidth="1" collapsed="1"/>
    <col min="2" max="2" width="27.140625" style="1" customWidth="1" collapsed="1"/>
    <col min="3" max="3" width="9.42578125" style="1" bestFit="1" customWidth="1" collapsed="1"/>
    <col min="4" max="4" width="64.5703125" style="1" customWidth="1" collapsed="1"/>
    <col min="5" max="5" width="9.7109375" style="1" bestFit="1" customWidth="1" collapsed="1"/>
    <col min="6" max="6" width="18.85546875" style="1" bestFit="1" customWidth="1" collapsed="1"/>
    <col min="7" max="7" width="14.5703125" style="1" bestFit="1" customWidth="1" collapsed="1"/>
    <col min="8" max="8" width="14.5703125" style="1" customWidth="1" collapsed="1"/>
    <col min="9" max="10" width="7.5703125" style="1" customWidth="1" collapsed="1"/>
    <col min="11" max="11" width="13.5703125" style="1" bestFit="1" customWidth="1" collapsed="1"/>
    <col min="12" max="12" width="7" style="1" customWidth="1" collapsed="1"/>
    <col min="13" max="13" width="16.140625" style="1" bestFit="1" customWidth="1" collapsed="1"/>
    <col min="14" max="14" width="22.28515625" style="1" bestFit="1" customWidth="1" collapsed="1"/>
    <col min="15" max="15" width="25.28515625" style="1" bestFit="1" customWidth="1" collapsed="1"/>
    <col min="16" max="16" width="27" style="1" bestFit="1" customWidth="1" collapsed="1"/>
    <col min="17" max="17" width="25.5703125" style="1" bestFit="1" customWidth="1" collapsed="1"/>
    <col min="18" max="20" width="14.28515625" style="1" bestFit="1" customWidth="1" collapsed="1"/>
    <col min="21" max="21" width="13.42578125" style="1" bestFit="1" customWidth="1" collapsed="1"/>
    <col min="22" max="24" width="12.85546875" style="1" bestFit="1" customWidth="1" collapsed="1"/>
    <col min="25" max="25" width="13.5703125" style="1" bestFit="1" customWidth="1" collapsed="1"/>
    <col min="26" max="26" width="22.42578125" style="1" customWidth="1" collapsed="1"/>
    <col min="27" max="27" width="25.140625" style="1" bestFit="1" customWidth="1" collapsed="1"/>
    <col min="28" max="28" width="22.28515625" style="1" bestFit="1" customWidth="1" collapsed="1"/>
    <col min="29" max="35" width="13.5703125" style="1" bestFit="1" customWidth="1" collapsed="1"/>
    <col min="36" max="16384" width="9.140625" style="1" collapsed="1"/>
  </cols>
  <sheetData>
    <row r="1" spans="1:38" s="8" customFormat="1" x14ac:dyDescent="0.25">
      <c r="A1" s="9" t="s">
        <v>0</v>
      </c>
      <c r="B1" s="7" t="s">
        <v>5</v>
      </c>
      <c r="C1" s="7" t="s">
        <v>6</v>
      </c>
      <c r="D1" s="7" t="s">
        <v>4</v>
      </c>
      <c r="E1" s="7" t="s">
        <v>7</v>
      </c>
      <c r="F1" s="106" t="s">
        <v>295</v>
      </c>
      <c r="G1" s="7" t="s">
        <v>1397</v>
      </c>
      <c r="H1" s="110" t="s">
        <v>1420</v>
      </c>
      <c r="I1" s="110" t="s">
        <v>8</v>
      </c>
      <c r="J1" s="7" t="s">
        <v>250</v>
      </c>
      <c r="K1" s="7" t="s">
        <v>294</v>
      </c>
      <c r="L1" s="7" t="s">
        <v>293</v>
      </c>
      <c r="M1" s="7" t="s">
        <v>319</v>
      </c>
      <c r="N1" s="7" t="s">
        <v>320</v>
      </c>
      <c r="O1" s="7" t="s">
        <v>321</v>
      </c>
      <c r="P1" s="7" t="s">
        <v>322</v>
      </c>
      <c r="Q1" s="7" t="s">
        <v>323</v>
      </c>
      <c r="R1" s="7" t="s">
        <v>324</v>
      </c>
      <c r="S1" s="7" t="s">
        <v>325</v>
      </c>
      <c r="T1" s="7" t="s">
        <v>326</v>
      </c>
      <c r="U1" s="7" t="s">
        <v>327</v>
      </c>
      <c r="V1" s="7" t="s">
        <v>328</v>
      </c>
      <c r="W1" s="7" t="s">
        <v>329</v>
      </c>
      <c r="X1" s="7" t="s">
        <v>330</v>
      </c>
      <c r="Y1" s="7" t="s">
        <v>331</v>
      </c>
      <c r="Z1" s="7" t="s">
        <v>332</v>
      </c>
      <c r="AA1" s="7" t="s">
        <v>333</v>
      </c>
      <c r="AB1" s="7" t="s">
        <v>334</v>
      </c>
      <c r="AC1" s="7" t="s">
        <v>334</v>
      </c>
      <c r="AD1" s="7" t="s">
        <v>1084</v>
      </c>
      <c r="AE1" s="7" t="s">
        <v>1085</v>
      </c>
      <c r="AF1" s="7" t="s">
        <v>1086</v>
      </c>
      <c r="AG1" s="7" t="s">
        <v>1087</v>
      </c>
      <c r="AH1" s="7" t="s">
        <v>1088</v>
      </c>
      <c r="AI1" s="7" t="s">
        <v>1089</v>
      </c>
      <c r="AJ1" s="7" t="s">
        <v>1090</v>
      </c>
      <c r="AK1" s="7" t="s">
        <v>1091</v>
      </c>
      <c r="AL1" s="7" t="s">
        <v>1092</v>
      </c>
    </row>
    <row r="2" spans="1:38" x14ac:dyDescent="0.25">
      <c r="A2" s="2" t="s">
        <v>1</v>
      </c>
      <c r="B2" s="2">
        <v>114</v>
      </c>
      <c r="C2" s="2">
        <v>3001</v>
      </c>
      <c r="D2" s="2" t="s">
        <v>15</v>
      </c>
      <c r="E2" s="2" t="s">
        <v>82</v>
      </c>
      <c r="F2" s="107" t="s">
        <v>298</v>
      </c>
      <c r="G2" s="2"/>
      <c r="I2" t="s">
        <v>1270</v>
      </c>
      <c r="J2" s="2"/>
      <c r="K2" s="2"/>
      <c r="L2" s="2"/>
      <c r="M2" s="2" t="s">
        <v>225</v>
      </c>
      <c r="N2" s="2" t="s">
        <v>9</v>
      </c>
      <c r="O2" s="2" t="s">
        <v>15</v>
      </c>
      <c r="P2" s="2" t="s">
        <v>197</v>
      </c>
      <c r="Q2" s="2" t="s">
        <v>384</v>
      </c>
      <c r="R2" s="2" t="s">
        <v>363</v>
      </c>
      <c r="S2" s="2" t="s">
        <v>17</v>
      </c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38" x14ac:dyDescent="0.25">
      <c r="A3" s="2" t="s">
        <v>2</v>
      </c>
      <c r="B3" s="2">
        <v>115</v>
      </c>
      <c r="C3" s="2">
        <v>3001</v>
      </c>
      <c r="D3" s="2" t="s">
        <v>804</v>
      </c>
      <c r="E3" s="2" t="s">
        <v>82</v>
      </c>
      <c r="F3" s="107" t="s">
        <v>298</v>
      </c>
      <c r="G3" s="2"/>
      <c r="I3" t="s">
        <v>1269</v>
      </c>
      <c r="J3" s="2"/>
      <c r="K3" s="2"/>
      <c r="L3" s="2"/>
      <c r="M3" s="2" t="s">
        <v>225</v>
      </c>
      <c r="N3" s="2" t="s">
        <v>9</v>
      </c>
      <c r="O3" s="2" t="s">
        <v>15</v>
      </c>
      <c r="P3" s="2" t="s">
        <v>197</v>
      </c>
      <c r="Q3" s="2" t="s">
        <v>10</v>
      </c>
      <c r="R3" s="2" t="s">
        <v>11</v>
      </c>
      <c r="S3" s="2" t="s">
        <v>12</v>
      </c>
      <c r="T3" s="2" t="s">
        <v>115</v>
      </c>
      <c r="U3" s="2" t="s">
        <v>116</v>
      </c>
      <c r="V3" s="2" t="s">
        <v>13</v>
      </c>
      <c r="W3" s="2" t="s">
        <v>14</v>
      </c>
      <c r="X3" s="2" t="s">
        <v>117</v>
      </c>
      <c r="Y3" s="2" t="s">
        <v>118</v>
      </c>
      <c r="Z3" s="2" t="s">
        <v>384</v>
      </c>
      <c r="AA3" s="2" t="s">
        <v>363</v>
      </c>
      <c r="AB3" s="2" t="s">
        <v>362</v>
      </c>
      <c r="AC3" s="2" t="s">
        <v>17</v>
      </c>
    </row>
    <row r="4" spans="1:38" x14ac:dyDescent="0.25">
      <c r="A4" s="2" t="s">
        <v>16</v>
      </c>
      <c r="B4" s="2">
        <v>116</v>
      </c>
      <c r="C4" s="2">
        <v>3001</v>
      </c>
      <c r="D4" s="2" t="s">
        <v>317</v>
      </c>
      <c r="E4" s="2" t="s">
        <v>82</v>
      </c>
      <c r="F4" s="107" t="s">
        <v>298</v>
      </c>
      <c r="G4" s="2"/>
      <c r="I4" t="s">
        <v>1270</v>
      </c>
      <c r="J4" s="2"/>
      <c r="K4" s="2"/>
      <c r="L4" s="2"/>
      <c r="M4" s="2" t="s">
        <v>225</v>
      </c>
      <c r="N4" s="2" t="s">
        <v>9</v>
      </c>
      <c r="O4" s="2" t="s">
        <v>15</v>
      </c>
      <c r="P4" s="2" t="s">
        <v>197</v>
      </c>
      <c r="Q4" s="2" t="s">
        <v>10</v>
      </c>
      <c r="R4" s="2" t="s">
        <v>11</v>
      </c>
      <c r="S4" s="2" t="s">
        <v>12</v>
      </c>
      <c r="T4" s="2" t="s">
        <v>115</v>
      </c>
      <c r="U4" s="2" t="s">
        <v>116</v>
      </c>
      <c r="V4" s="2" t="s">
        <v>13</v>
      </c>
      <c r="W4" s="2" t="s">
        <v>14</v>
      </c>
      <c r="X4" s="2" t="s">
        <v>117</v>
      </c>
      <c r="Y4" s="2" t="s">
        <v>118</v>
      </c>
      <c r="Z4" s="2" t="s">
        <v>384</v>
      </c>
      <c r="AA4" s="2" t="s">
        <v>363</v>
      </c>
      <c r="AB4" s="2" t="s">
        <v>362</v>
      </c>
      <c r="AC4" s="2" t="s">
        <v>17</v>
      </c>
    </row>
    <row r="5" spans="1:38" x14ac:dyDescent="0.25">
      <c r="A5" s="2" t="s">
        <v>114</v>
      </c>
      <c r="B5" s="2">
        <v>129</v>
      </c>
      <c r="C5" s="2">
        <v>3001</v>
      </c>
      <c r="D5" s="2" t="s">
        <v>318</v>
      </c>
      <c r="E5" s="2" t="s">
        <v>82</v>
      </c>
      <c r="F5" s="107" t="s">
        <v>298</v>
      </c>
      <c r="G5" s="2"/>
      <c r="I5" t="s">
        <v>1270</v>
      </c>
      <c r="J5" s="2"/>
      <c r="K5" s="2"/>
      <c r="L5" s="2"/>
      <c r="M5" s="2" t="s">
        <v>225</v>
      </c>
      <c r="N5" s="2" t="s">
        <v>9</v>
      </c>
      <c r="O5" s="2" t="s">
        <v>15</v>
      </c>
      <c r="P5" s="2" t="s">
        <v>197</v>
      </c>
      <c r="Q5" s="2" t="s">
        <v>10</v>
      </c>
      <c r="R5" s="2" t="s">
        <v>11</v>
      </c>
      <c r="S5" s="2" t="s">
        <v>12</v>
      </c>
      <c r="T5" s="2" t="s">
        <v>115</v>
      </c>
      <c r="U5" s="2" t="s">
        <v>116</v>
      </c>
      <c r="V5" s="2" t="s">
        <v>13</v>
      </c>
      <c r="W5" s="2" t="s">
        <v>14</v>
      </c>
      <c r="X5" s="2" t="s">
        <v>117</v>
      </c>
      <c r="Y5" s="2" t="s">
        <v>118</v>
      </c>
      <c r="Z5" s="2" t="s">
        <v>384</v>
      </c>
      <c r="AA5" s="2" t="s">
        <v>363</v>
      </c>
      <c r="AB5" s="2" t="s">
        <v>362</v>
      </c>
      <c r="AC5" s="2" t="s">
        <v>17</v>
      </c>
    </row>
    <row r="6" spans="1:38" s="47" customFormat="1" x14ac:dyDescent="0.25">
      <c r="A6" s="4" t="s">
        <v>132</v>
      </c>
      <c r="B6" s="52" t="s">
        <v>484</v>
      </c>
      <c r="C6" s="2">
        <v>6406</v>
      </c>
      <c r="D6" s="45" t="s">
        <v>385</v>
      </c>
      <c r="E6" s="2" t="s">
        <v>82</v>
      </c>
      <c r="F6" s="46" t="s">
        <v>554</v>
      </c>
      <c r="G6" s="113" t="s">
        <v>1398</v>
      </c>
      <c r="H6" s="115"/>
      <c r="I6" t="s">
        <v>1270</v>
      </c>
      <c r="J6" s="44"/>
      <c r="K6" s="44"/>
      <c r="L6" s="44"/>
      <c r="M6" s="2" t="s">
        <v>225</v>
      </c>
      <c r="N6" s="44" t="s">
        <v>386</v>
      </c>
      <c r="O6" s="2" t="s">
        <v>384</v>
      </c>
      <c r="P6" s="44" t="s">
        <v>362</v>
      </c>
      <c r="Q6" s="2" t="s">
        <v>17</v>
      </c>
      <c r="R6" s="44"/>
      <c r="S6" s="2"/>
      <c r="T6" s="2"/>
      <c r="U6" s="2"/>
      <c r="V6" s="44"/>
      <c r="W6" s="44"/>
      <c r="X6" s="46"/>
      <c r="Y6" s="46"/>
      <c r="Z6" s="46"/>
    </row>
    <row r="7" spans="1:38" s="47" customFormat="1" x14ac:dyDescent="0.25">
      <c r="A7" s="4" t="s">
        <v>123</v>
      </c>
      <c r="B7" s="53" t="s">
        <v>485</v>
      </c>
      <c r="C7" s="2">
        <v>6406</v>
      </c>
      <c r="D7" s="45" t="s">
        <v>385</v>
      </c>
      <c r="E7" s="2" t="s">
        <v>82</v>
      </c>
      <c r="F7" s="46" t="s">
        <v>554</v>
      </c>
      <c r="G7" s="113" t="s">
        <v>1398</v>
      </c>
      <c r="H7" s="115"/>
      <c r="I7" t="s">
        <v>1270</v>
      </c>
      <c r="J7" s="44"/>
      <c r="K7" s="44"/>
      <c r="L7" s="44"/>
      <c r="M7" s="2" t="s">
        <v>225</v>
      </c>
      <c r="N7" s="2" t="s">
        <v>477</v>
      </c>
      <c r="O7" s="44" t="s">
        <v>386</v>
      </c>
      <c r="P7" s="2" t="s">
        <v>384</v>
      </c>
      <c r="Q7" s="44" t="s">
        <v>362</v>
      </c>
      <c r="R7" s="2" t="s">
        <v>17</v>
      </c>
      <c r="S7" s="44"/>
      <c r="T7" s="44"/>
      <c r="U7" s="44"/>
      <c r="V7" s="44"/>
      <c r="W7" s="44"/>
      <c r="X7" s="46"/>
      <c r="Y7" s="46"/>
      <c r="Z7" s="46"/>
    </row>
    <row r="8" spans="1:38" s="47" customFormat="1" x14ac:dyDescent="0.25">
      <c r="A8" s="4" t="s">
        <v>134</v>
      </c>
      <c r="B8" s="14" t="s">
        <v>840</v>
      </c>
      <c r="C8" s="2">
        <v>6408</v>
      </c>
      <c r="D8" s="45" t="s">
        <v>557</v>
      </c>
      <c r="E8" s="2" t="s">
        <v>82</v>
      </c>
      <c r="F8" s="46" t="s">
        <v>558</v>
      </c>
      <c r="G8" s="113" t="s">
        <v>1399</v>
      </c>
      <c r="H8" s="115"/>
      <c r="I8" t="s">
        <v>1270</v>
      </c>
      <c r="J8" s="44"/>
      <c r="K8" s="44"/>
      <c r="L8" s="44"/>
      <c r="M8" s="2" t="s">
        <v>225</v>
      </c>
      <c r="N8" s="2" t="s">
        <v>9</v>
      </c>
      <c r="O8" s="2" t="s">
        <v>15</v>
      </c>
      <c r="P8" s="1" t="s">
        <v>534</v>
      </c>
      <c r="Q8" s="2" t="s">
        <v>384</v>
      </c>
      <c r="R8" s="2" t="s">
        <v>362</v>
      </c>
      <c r="S8" s="2" t="s">
        <v>17</v>
      </c>
      <c r="T8" s="44"/>
      <c r="U8" s="44"/>
      <c r="V8" s="44"/>
      <c r="W8" s="44"/>
      <c r="X8" s="46"/>
      <c r="Y8" s="46"/>
      <c r="Z8" s="46"/>
    </row>
    <row r="9" spans="1:38" s="47" customFormat="1" x14ac:dyDescent="0.25">
      <c r="A9" s="4" t="s">
        <v>135</v>
      </c>
      <c r="B9" s="14" t="s">
        <v>561</v>
      </c>
      <c r="C9" s="2">
        <v>2905</v>
      </c>
      <c r="D9" s="45" t="s">
        <v>562</v>
      </c>
      <c r="E9" s="2" t="s">
        <v>82</v>
      </c>
      <c r="F9" s="44" t="s">
        <v>558</v>
      </c>
      <c r="G9"/>
      <c r="H9"/>
      <c r="I9" t="s">
        <v>1269</v>
      </c>
      <c r="J9" s="44"/>
      <c r="K9" s="44"/>
      <c r="M9" s="2" t="s">
        <v>225</v>
      </c>
      <c r="N9" s="2" t="s">
        <v>9</v>
      </c>
      <c r="O9" s="2" t="s">
        <v>15</v>
      </c>
      <c r="P9" s="2" t="s">
        <v>197</v>
      </c>
      <c r="Q9" s="2" t="s">
        <v>10</v>
      </c>
      <c r="R9" s="2" t="s">
        <v>564</v>
      </c>
      <c r="S9" s="44" t="s">
        <v>118</v>
      </c>
      <c r="T9" s="1" t="s">
        <v>534</v>
      </c>
      <c r="U9" s="2" t="s">
        <v>384</v>
      </c>
      <c r="V9" s="44" t="s">
        <v>362</v>
      </c>
      <c r="W9" s="2" t="s">
        <v>17</v>
      </c>
      <c r="X9" s="46"/>
      <c r="Y9" s="46"/>
    </row>
    <row r="10" spans="1:38" s="47" customFormat="1" x14ac:dyDescent="0.25">
      <c r="A10" s="4" t="s">
        <v>157</v>
      </c>
      <c r="B10" s="14" t="s">
        <v>615</v>
      </c>
      <c r="C10" s="2">
        <v>6408</v>
      </c>
      <c r="D10" s="45" t="s">
        <v>576</v>
      </c>
      <c r="E10" s="2" t="s">
        <v>82</v>
      </c>
      <c r="F10" s="44" t="s">
        <v>558</v>
      </c>
      <c r="G10"/>
      <c r="H10"/>
      <c r="I10" s="44"/>
      <c r="J10" s="44"/>
      <c r="K10" s="44"/>
      <c r="M10" s="2" t="s">
        <v>225</v>
      </c>
      <c r="N10" s="2" t="s">
        <v>9</v>
      </c>
      <c r="O10" s="2" t="s">
        <v>15</v>
      </c>
      <c r="P10" s="2" t="s">
        <v>197</v>
      </c>
      <c r="Q10" s="2" t="s">
        <v>10</v>
      </c>
      <c r="R10" s="2" t="s">
        <v>564</v>
      </c>
      <c r="S10" s="44" t="s">
        <v>118</v>
      </c>
      <c r="T10" s="1" t="s">
        <v>534</v>
      </c>
      <c r="U10" s="2" t="s">
        <v>384</v>
      </c>
      <c r="V10" s="44" t="s">
        <v>362</v>
      </c>
      <c r="W10" s="2" t="s">
        <v>17</v>
      </c>
      <c r="X10" s="46"/>
      <c r="Y10" s="46"/>
    </row>
    <row r="11" spans="1:38" s="47" customFormat="1" x14ac:dyDescent="0.25">
      <c r="A11" s="4" t="s">
        <v>243</v>
      </c>
      <c r="B11" s="2">
        <v>1453</v>
      </c>
      <c r="C11" s="2">
        <v>6408</v>
      </c>
      <c r="D11" s="45" t="s">
        <v>585</v>
      </c>
      <c r="E11" s="2" t="s">
        <v>82</v>
      </c>
      <c r="F11" s="46" t="s">
        <v>558</v>
      </c>
      <c r="G11" s="113" t="s">
        <v>1399</v>
      </c>
      <c r="H11" s="115"/>
      <c r="I11" t="s">
        <v>1270</v>
      </c>
      <c r="J11" s="2" t="s">
        <v>494</v>
      </c>
      <c r="K11" s="44"/>
      <c r="L11" s="44"/>
      <c r="M11" s="2" t="s">
        <v>225</v>
      </c>
      <c r="N11" s="2" t="s">
        <v>596</v>
      </c>
      <c r="O11" s="2" t="s">
        <v>17</v>
      </c>
      <c r="P11" s="2"/>
      <c r="Q11" s="2"/>
      <c r="R11" s="2"/>
      <c r="S11" s="1"/>
      <c r="T11" s="2"/>
      <c r="U11" s="44"/>
      <c r="V11" s="2"/>
      <c r="W11" s="44"/>
      <c r="X11" s="46"/>
      <c r="Y11" s="46"/>
      <c r="Z11" s="46"/>
    </row>
    <row r="12" spans="1:38" s="47" customFormat="1" x14ac:dyDescent="0.25">
      <c r="A12" s="4" t="s">
        <v>172</v>
      </c>
      <c r="B12" s="14" t="s">
        <v>646</v>
      </c>
      <c r="C12" s="2">
        <v>6408</v>
      </c>
      <c r="D12" s="45" t="s">
        <v>855</v>
      </c>
      <c r="E12" s="2" t="s">
        <v>82</v>
      </c>
      <c r="F12" s="46" t="s">
        <v>558</v>
      </c>
      <c r="G12" s="113" t="s">
        <v>1399</v>
      </c>
      <c r="H12" s="115"/>
      <c r="I12" t="s">
        <v>1269</v>
      </c>
      <c r="J12" s="44"/>
      <c r="K12" s="44"/>
      <c r="L12" s="44"/>
      <c r="M12" s="2" t="s">
        <v>225</v>
      </c>
      <c r="N12" s="2" t="s">
        <v>9</v>
      </c>
      <c r="O12" s="2" t="s">
        <v>15</v>
      </c>
      <c r="P12" s="2" t="s">
        <v>197</v>
      </c>
      <c r="Q12" s="2" t="s">
        <v>10</v>
      </c>
      <c r="R12" s="2" t="s">
        <v>564</v>
      </c>
      <c r="S12" s="1" t="s">
        <v>534</v>
      </c>
      <c r="T12" s="44" t="s">
        <v>118</v>
      </c>
      <c r="U12" s="2" t="s">
        <v>384</v>
      </c>
      <c r="V12" s="44" t="s">
        <v>362</v>
      </c>
      <c r="W12" s="2" t="s">
        <v>17</v>
      </c>
      <c r="X12" s="46"/>
      <c r="Y12" s="46"/>
      <c r="Z12" s="46"/>
    </row>
    <row r="13" spans="1:38" s="47" customFormat="1" x14ac:dyDescent="0.25">
      <c r="A13" s="4" t="s">
        <v>244</v>
      </c>
      <c r="B13" s="2">
        <v>1453</v>
      </c>
      <c r="C13" s="2">
        <v>6408</v>
      </c>
      <c r="D13" s="45" t="s">
        <v>854</v>
      </c>
      <c r="E13" s="2" t="s">
        <v>82</v>
      </c>
      <c r="F13" s="46" t="s">
        <v>558</v>
      </c>
      <c r="G13" s="113" t="s">
        <v>1399</v>
      </c>
      <c r="H13" s="116"/>
      <c r="I13" s="111"/>
      <c r="J13" s="2" t="s">
        <v>494</v>
      </c>
      <c r="K13" s="44"/>
      <c r="L13" s="44"/>
      <c r="M13" s="2" t="s">
        <v>225</v>
      </c>
      <c r="N13" s="2" t="s">
        <v>596</v>
      </c>
      <c r="O13" s="2" t="s">
        <v>17</v>
      </c>
      <c r="P13" s="2"/>
      <c r="Q13" s="2"/>
      <c r="R13" s="2"/>
      <c r="S13" s="1"/>
      <c r="T13" s="2"/>
      <c r="U13" s="44"/>
      <c r="V13" s="2"/>
      <c r="W13" s="44"/>
      <c r="X13" s="46"/>
      <c r="Y13" s="46"/>
      <c r="Z13" s="46"/>
    </row>
    <row r="14" spans="1:38" x14ac:dyDescent="0.25">
      <c r="A14" s="2" t="s">
        <v>248</v>
      </c>
      <c r="B14" s="2">
        <v>115</v>
      </c>
      <c r="C14" s="2">
        <v>2905</v>
      </c>
      <c r="D14" s="2" t="s">
        <v>776</v>
      </c>
      <c r="E14" s="2" t="s">
        <v>82</v>
      </c>
      <c r="F14" s="107" t="s">
        <v>555</v>
      </c>
      <c r="G14" s="114" t="s">
        <v>1400</v>
      </c>
      <c r="H14" s="117"/>
      <c r="I14" t="s">
        <v>1270</v>
      </c>
      <c r="J14" s="2" t="s">
        <v>494</v>
      </c>
      <c r="K14" s="2"/>
      <c r="L14" s="2"/>
      <c r="M14" s="2" t="s">
        <v>225</v>
      </c>
      <c r="N14" s="2" t="s">
        <v>9</v>
      </c>
      <c r="O14" s="2" t="s">
        <v>15</v>
      </c>
      <c r="P14" s="2" t="s">
        <v>495</v>
      </c>
      <c r="Q14" s="2" t="s">
        <v>17</v>
      </c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38" x14ac:dyDescent="0.25">
      <c r="A15" s="2" t="s">
        <v>249</v>
      </c>
      <c r="B15" s="2">
        <v>115</v>
      </c>
      <c r="C15" s="2">
        <v>2905</v>
      </c>
      <c r="D15" s="2" t="s">
        <v>496</v>
      </c>
      <c r="E15" s="2" t="s">
        <v>82</v>
      </c>
      <c r="F15" s="107" t="s">
        <v>555</v>
      </c>
      <c r="G15" s="114" t="s">
        <v>1400</v>
      </c>
      <c r="H15" s="117"/>
      <c r="I15" t="s">
        <v>1269</v>
      </c>
      <c r="J15" s="2" t="s">
        <v>494</v>
      </c>
      <c r="K15" s="2"/>
      <c r="L15" s="2"/>
      <c r="M15" s="2" t="s">
        <v>225</v>
      </c>
      <c r="N15" s="2" t="s">
        <v>9</v>
      </c>
      <c r="O15" s="2" t="s">
        <v>15</v>
      </c>
      <c r="P15" s="2" t="s">
        <v>10</v>
      </c>
      <c r="Q15" s="2" t="s">
        <v>564</v>
      </c>
      <c r="R15" s="2" t="s">
        <v>495</v>
      </c>
      <c r="S15" s="2" t="s">
        <v>17</v>
      </c>
      <c r="T15" s="2"/>
      <c r="U15" s="2"/>
    </row>
    <row r="16" spans="1:38" x14ac:dyDescent="0.25">
      <c r="A16" s="2" t="s">
        <v>256</v>
      </c>
      <c r="B16" s="2">
        <v>115</v>
      </c>
      <c r="C16" s="2">
        <v>2905</v>
      </c>
      <c r="D16" s="2" t="s">
        <v>520</v>
      </c>
      <c r="E16" s="2" t="s">
        <v>82</v>
      </c>
      <c r="F16" s="107" t="s">
        <v>555</v>
      </c>
      <c r="G16" s="114" t="s">
        <v>1400</v>
      </c>
      <c r="H16" s="117"/>
      <c r="I16"/>
      <c r="J16" s="2" t="s">
        <v>494</v>
      </c>
      <c r="K16" s="2"/>
      <c r="L16" s="2"/>
      <c r="M16" s="2" t="s">
        <v>225</v>
      </c>
      <c r="N16" s="2" t="s">
        <v>498</v>
      </c>
      <c r="O16" s="2" t="s">
        <v>10</v>
      </c>
      <c r="P16" s="2" t="s">
        <v>564</v>
      </c>
      <c r="Q16" s="2" t="s">
        <v>495</v>
      </c>
      <c r="R16" s="1" t="s">
        <v>534</v>
      </c>
      <c r="S16" s="2" t="s">
        <v>17</v>
      </c>
      <c r="T16" s="2"/>
      <c r="U16" s="2"/>
    </row>
    <row r="17" spans="1:31" x14ac:dyDescent="0.25">
      <c r="A17" s="2" t="s">
        <v>547</v>
      </c>
      <c r="B17" s="2">
        <v>115</v>
      </c>
      <c r="C17" s="2">
        <v>2905</v>
      </c>
      <c r="D17" s="2" t="s">
        <v>548</v>
      </c>
      <c r="E17" s="2" t="s">
        <v>82</v>
      </c>
      <c r="F17" s="107" t="s">
        <v>555</v>
      </c>
      <c r="G17" s="114" t="s">
        <v>1400</v>
      </c>
      <c r="H17" s="117"/>
      <c r="I17" t="s">
        <v>1270</v>
      </c>
      <c r="J17" s="2" t="s">
        <v>494</v>
      </c>
      <c r="K17" s="2"/>
      <c r="L17" s="2"/>
      <c r="M17" s="2" t="s">
        <v>225</v>
      </c>
      <c r="N17" s="2" t="s">
        <v>9</v>
      </c>
      <c r="O17" s="2" t="s">
        <v>15</v>
      </c>
      <c r="P17" s="2" t="s">
        <v>495</v>
      </c>
      <c r="Q17" s="2" t="s">
        <v>17</v>
      </c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31" x14ac:dyDescent="0.25">
      <c r="A18" s="2" t="s">
        <v>181</v>
      </c>
      <c r="B18" s="14" t="s">
        <v>544</v>
      </c>
      <c r="C18" s="2">
        <v>6569</v>
      </c>
      <c r="D18" s="2" t="s">
        <v>510</v>
      </c>
      <c r="E18" s="2" t="s">
        <v>82</v>
      </c>
      <c r="F18" s="107" t="s">
        <v>555</v>
      </c>
      <c r="G18" s="114" t="s">
        <v>1400</v>
      </c>
      <c r="H18" s="117"/>
      <c r="I18" t="s">
        <v>1269</v>
      </c>
      <c r="J18" s="2"/>
      <c r="K18" s="2"/>
      <c r="L18" s="2"/>
      <c r="M18" s="2" t="s">
        <v>225</v>
      </c>
      <c r="N18" s="2" t="s">
        <v>498</v>
      </c>
      <c r="O18" s="2" t="s">
        <v>495</v>
      </c>
      <c r="P18" s="2" t="s">
        <v>384</v>
      </c>
      <c r="Q18" s="2" t="s">
        <v>362</v>
      </c>
      <c r="R18" s="2" t="s">
        <v>17</v>
      </c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31" x14ac:dyDescent="0.25">
      <c r="A19" s="2" t="s">
        <v>185</v>
      </c>
      <c r="B19" s="2">
        <v>1442</v>
      </c>
      <c r="C19" s="2">
        <v>6569</v>
      </c>
      <c r="D19" s="2" t="s">
        <v>551</v>
      </c>
      <c r="E19" s="2" t="s">
        <v>82</v>
      </c>
      <c r="F19" s="107" t="s">
        <v>555</v>
      </c>
      <c r="G19" s="114" t="s">
        <v>1400</v>
      </c>
      <c r="H19" s="118"/>
      <c r="I19" s="58"/>
      <c r="J19" s="2"/>
      <c r="K19" s="2"/>
      <c r="L19" s="2"/>
      <c r="M19" s="2" t="s">
        <v>225</v>
      </c>
      <c r="N19" s="2" t="s">
        <v>498</v>
      </c>
      <c r="O19" s="1" t="s">
        <v>534</v>
      </c>
      <c r="P19" s="2" t="s">
        <v>384</v>
      </c>
      <c r="Q19" s="2" t="s">
        <v>362</v>
      </c>
      <c r="R19" s="2" t="s">
        <v>17</v>
      </c>
    </row>
    <row r="20" spans="1:31" x14ac:dyDescent="0.25">
      <c r="A20" s="2" t="s">
        <v>187</v>
      </c>
      <c r="B20" s="2">
        <v>1232</v>
      </c>
      <c r="C20" s="2">
        <v>6569</v>
      </c>
      <c r="D20" s="2" t="s">
        <v>546</v>
      </c>
      <c r="E20" s="2" t="s">
        <v>82</v>
      </c>
      <c r="F20" s="107" t="s">
        <v>555</v>
      </c>
      <c r="G20" s="114" t="s">
        <v>1400</v>
      </c>
      <c r="H20" s="118"/>
      <c r="I20" s="58"/>
      <c r="J20" s="2"/>
      <c r="K20" s="2"/>
      <c r="L20" s="2"/>
      <c r="M20" s="2" t="s">
        <v>225</v>
      </c>
      <c r="N20" s="2" t="s">
        <v>498</v>
      </c>
      <c r="O20" s="2" t="s">
        <v>495</v>
      </c>
      <c r="P20" s="2" t="s">
        <v>384</v>
      </c>
      <c r="Q20" s="2" t="s">
        <v>362</v>
      </c>
      <c r="R20" s="2" t="s">
        <v>17</v>
      </c>
    </row>
    <row r="21" spans="1:31" x14ac:dyDescent="0.25">
      <c r="A21" s="2" t="s">
        <v>188</v>
      </c>
      <c r="B21" s="14" t="s">
        <v>724</v>
      </c>
      <c r="C21" s="2">
        <v>6560</v>
      </c>
      <c r="D21" s="2" t="s">
        <v>647</v>
      </c>
      <c r="E21" s="2" t="s">
        <v>82</v>
      </c>
      <c r="F21" s="107" t="s">
        <v>648</v>
      </c>
      <c r="G21" s="114" t="s">
        <v>1401</v>
      </c>
      <c r="H21" s="117"/>
      <c r="I21" t="s">
        <v>1270</v>
      </c>
      <c r="J21" s="2"/>
      <c r="K21" s="2"/>
      <c r="L21" s="2"/>
      <c r="M21" s="2" t="s">
        <v>225</v>
      </c>
      <c r="N21" s="2" t="s">
        <v>9</v>
      </c>
      <c r="O21" s="2" t="s">
        <v>15</v>
      </c>
      <c r="P21" s="2" t="s">
        <v>197</v>
      </c>
      <c r="Q21" s="2" t="s">
        <v>656</v>
      </c>
      <c r="R21" s="2" t="s">
        <v>384</v>
      </c>
      <c r="S21" s="2" t="s">
        <v>362</v>
      </c>
      <c r="T21" s="2" t="s">
        <v>17</v>
      </c>
    </row>
    <row r="22" spans="1:31" x14ac:dyDescent="0.25">
      <c r="A22" s="2" t="s">
        <v>189</v>
      </c>
      <c r="B22" s="14" t="s">
        <v>750</v>
      </c>
      <c r="C22" s="2">
        <v>6560</v>
      </c>
      <c r="D22" s="2" t="s">
        <v>674</v>
      </c>
      <c r="E22" s="2" t="s">
        <v>82</v>
      </c>
      <c r="F22" s="107" t="s">
        <v>648</v>
      </c>
      <c r="G22" s="114" t="s">
        <v>1401</v>
      </c>
      <c r="H22" s="117"/>
      <c r="I22" t="s">
        <v>1270</v>
      </c>
      <c r="J22" s="2"/>
      <c r="K22" s="2"/>
      <c r="L22" s="2"/>
      <c r="M22" s="2" t="s">
        <v>225</v>
      </c>
      <c r="N22" s="2" t="s">
        <v>498</v>
      </c>
      <c r="O22" s="2" t="s">
        <v>656</v>
      </c>
      <c r="P22" s="2" t="s">
        <v>675</v>
      </c>
      <c r="Q22" s="2" t="s">
        <v>384</v>
      </c>
      <c r="R22" s="2" t="s">
        <v>362</v>
      </c>
      <c r="S22" s="2" t="s">
        <v>17</v>
      </c>
    </row>
    <row r="23" spans="1:31" x14ac:dyDescent="0.25">
      <c r="A23" s="2" t="s">
        <v>190</v>
      </c>
      <c r="B23" s="14" t="s">
        <v>768</v>
      </c>
      <c r="C23" s="2">
        <v>6560</v>
      </c>
      <c r="D23" s="2" t="s">
        <v>761</v>
      </c>
      <c r="E23" s="2" t="s">
        <v>82</v>
      </c>
      <c r="F23" s="107" t="s">
        <v>648</v>
      </c>
      <c r="G23" s="114" t="s">
        <v>1401</v>
      </c>
      <c r="H23" s="117"/>
      <c r="I23" t="s">
        <v>1269</v>
      </c>
      <c r="J23" s="2"/>
      <c r="K23" s="2"/>
      <c r="L23" s="2"/>
      <c r="M23" s="2" t="s">
        <v>225</v>
      </c>
      <c r="N23" s="2" t="s">
        <v>498</v>
      </c>
      <c r="O23" s="2" t="s">
        <v>675</v>
      </c>
      <c r="P23" s="2" t="s">
        <v>384</v>
      </c>
      <c r="Q23" s="2" t="s">
        <v>362</v>
      </c>
      <c r="R23" s="2" t="s">
        <v>17</v>
      </c>
    </row>
    <row r="24" spans="1:31" x14ac:dyDescent="0.25">
      <c r="A24" s="2" t="s">
        <v>772</v>
      </c>
      <c r="B24" s="2">
        <v>115</v>
      </c>
      <c r="C24" s="2">
        <v>2905</v>
      </c>
      <c r="D24" s="2" t="s">
        <v>777</v>
      </c>
      <c r="E24" s="2" t="s">
        <v>82</v>
      </c>
      <c r="F24" s="107" t="s">
        <v>774</v>
      </c>
      <c r="G24" s="114" t="s">
        <v>1402</v>
      </c>
      <c r="H24" s="117"/>
      <c r="I24" t="s">
        <v>1270</v>
      </c>
      <c r="J24" s="2" t="s">
        <v>494</v>
      </c>
      <c r="K24" s="2"/>
      <c r="L24" s="2"/>
      <c r="M24" s="58" t="s">
        <v>225</v>
      </c>
      <c r="N24" s="2" t="s">
        <v>9</v>
      </c>
      <c r="O24" s="2" t="s">
        <v>15</v>
      </c>
      <c r="P24" s="2" t="s">
        <v>787</v>
      </c>
      <c r="Q24" s="2" t="s">
        <v>17</v>
      </c>
    </row>
    <row r="25" spans="1:31" x14ac:dyDescent="0.25">
      <c r="A25" s="2" t="s">
        <v>773</v>
      </c>
      <c r="B25" s="2">
        <v>115</v>
      </c>
      <c r="C25" s="2">
        <v>2905</v>
      </c>
      <c r="D25" s="2" t="s">
        <v>778</v>
      </c>
      <c r="E25" s="2" t="s">
        <v>82</v>
      </c>
      <c r="F25" s="107" t="s">
        <v>774</v>
      </c>
      <c r="G25" s="114" t="s">
        <v>1402</v>
      </c>
      <c r="H25" s="117"/>
      <c r="I25" t="s">
        <v>1269</v>
      </c>
      <c r="J25" s="2" t="s">
        <v>494</v>
      </c>
      <c r="K25" s="2"/>
      <c r="L25" s="2"/>
      <c r="M25" s="2" t="s">
        <v>225</v>
      </c>
      <c r="N25" s="2" t="s">
        <v>9</v>
      </c>
      <c r="O25" s="2" t="s">
        <v>15</v>
      </c>
      <c r="P25" s="2" t="s">
        <v>10</v>
      </c>
      <c r="Q25" s="1" t="s">
        <v>564</v>
      </c>
      <c r="R25" s="2" t="s">
        <v>787</v>
      </c>
      <c r="S25" s="2" t="s">
        <v>534</v>
      </c>
      <c r="T25" s="2" t="s">
        <v>17</v>
      </c>
    </row>
    <row r="26" spans="1:31" x14ac:dyDescent="0.25">
      <c r="A26" s="2" t="s">
        <v>191</v>
      </c>
      <c r="B26" s="14" t="s">
        <v>790</v>
      </c>
      <c r="C26" s="2">
        <v>6591</v>
      </c>
      <c r="D26" s="2" t="s">
        <v>791</v>
      </c>
      <c r="E26" s="2" t="s">
        <v>82</v>
      </c>
      <c r="F26" s="107" t="s">
        <v>774</v>
      </c>
      <c r="G26" s="114" t="s">
        <v>1402</v>
      </c>
      <c r="H26" s="117"/>
      <c r="I26" t="s">
        <v>1269</v>
      </c>
      <c r="J26" s="2"/>
      <c r="K26" s="2"/>
      <c r="L26" s="2"/>
      <c r="M26" s="2" t="s">
        <v>225</v>
      </c>
      <c r="N26" s="2" t="s">
        <v>498</v>
      </c>
      <c r="O26" s="2" t="s">
        <v>787</v>
      </c>
      <c r="P26" s="2" t="s">
        <v>384</v>
      </c>
      <c r="Q26" s="2" t="s">
        <v>362</v>
      </c>
      <c r="R26" s="2" t="s">
        <v>17</v>
      </c>
    </row>
    <row r="27" spans="1:31" s="73" customFormat="1" x14ac:dyDescent="0.25">
      <c r="A27" s="73" t="s">
        <v>192</v>
      </c>
      <c r="B27" s="67" t="s">
        <v>1051</v>
      </c>
      <c r="C27" s="2">
        <v>6615</v>
      </c>
      <c r="D27" s="73" t="s">
        <v>1050</v>
      </c>
      <c r="E27" s="2" t="s">
        <v>82</v>
      </c>
      <c r="F27" s="107" t="s">
        <v>870</v>
      </c>
      <c r="G27" s="114" t="s">
        <v>1403</v>
      </c>
      <c r="H27" s="117"/>
      <c r="I27" t="s">
        <v>1270</v>
      </c>
      <c r="M27" s="73" t="s">
        <v>225</v>
      </c>
      <c r="N27" s="2" t="s">
        <v>945</v>
      </c>
      <c r="O27" s="90" t="s">
        <v>384</v>
      </c>
      <c r="P27" s="90" t="s">
        <v>362</v>
      </c>
      <c r="Q27" s="90" t="s">
        <v>17</v>
      </c>
    </row>
    <row r="28" spans="1:31" s="73" customFormat="1" x14ac:dyDescent="0.25">
      <c r="A28" s="73" t="s">
        <v>911</v>
      </c>
      <c r="B28" s="67" t="s">
        <v>1058</v>
      </c>
      <c r="C28" s="2">
        <v>2905</v>
      </c>
      <c r="D28" s="73" t="s">
        <v>1057</v>
      </c>
      <c r="E28" s="73" t="s">
        <v>82</v>
      </c>
      <c r="F28" s="108" t="s">
        <v>917</v>
      </c>
      <c r="G28" s="114" t="s">
        <v>1404</v>
      </c>
      <c r="H28" s="118"/>
      <c r="I28" s="112"/>
      <c r="M28" s="73" t="s">
        <v>225</v>
      </c>
      <c r="N28" s="2" t="s">
        <v>945</v>
      </c>
      <c r="O28" s="90" t="s">
        <v>384</v>
      </c>
      <c r="P28" s="90" t="s">
        <v>362</v>
      </c>
      <c r="Q28" s="90" t="s">
        <v>17</v>
      </c>
    </row>
    <row r="29" spans="1:31" s="79" customFormat="1" x14ac:dyDescent="0.25">
      <c r="A29" s="73" t="s">
        <v>912</v>
      </c>
      <c r="B29" s="89" t="s">
        <v>1009</v>
      </c>
      <c r="C29" s="2">
        <v>2905</v>
      </c>
      <c r="D29" s="79" t="s">
        <v>1011</v>
      </c>
      <c r="E29" s="73" t="s">
        <v>82</v>
      </c>
      <c r="F29" s="107" t="s">
        <v>1012</v>
      </c>
      <c r="G29" s="114" t="s">
        <v>1405</v>
      </c>
      <c r="H29" s="118"/>
      <c r="I29" t="s">
        <v>1270</v>
      </c>
      <c r="J29" s="73"/>
      <c r="K29" s="73"/>
      <c r="L29" s="73"/>
      <c r="M29" s="73" t="s">
        <v>225</v>
      </c>
      <c r="N29" s="73" t="s">
        <v>9</v>
      </c>
      <c r="O29" s="73" t="s">
        <v>15</v>
      </c>
      <c r="P29" s="79" t="s">
        <v>656</v>
      </c>
      <c r="Q29" s="2" t="s">
        <v>197</v>
      </c>
      <c r="R29" s="73" t="s">
        <v>10</v>
      </c>
      <c r="S29" s="73" t="s">
        <v>11</v>
      </c>
      <c r="T29" s="73" t="s">
        <v>12</v>
      </c>
      <c r="U29" s="73" t="s">
        <v>115</v>
      </c>
      <c r="V29" s="73" t="s">
        <v>116</v>
      </c>
      <c r="W29" s="73" t="s">
        <v>13</v>
      </c>
      <c r="X29" s="73" t="s">
        <v>14</v>
      </c>
      <c r="Y29" s="73" t="s">
        <v>117</v>
      </c>
      <c r="Z29" s="73" t="s">
        <v>118</v>
      </c>
      <c r="AA29" s="90" t="s">
        <v>384</v>
      </c>
      <c r="AB29" s="79" t="s">
        <v>362</v>
      </c>
      <c r="AC29" s="79" t="s">
        <v>17</v>
      </c>
    </row>
    <row r="30" spans="1:31" s="79" customFormat="1" x14ac:dyDescent="0.25">
      <c r="A30" s="73" t="s">
        <v>913</v>
      </c>
      <c r="B30" s="67" t="s">
        <v>1010</v>
      </c>
      <c r="C30" s="2">
        <v>2905</v>
      </c>
      <c r="D30" s="73" t="s">
        <v>986</v>
      </c>
      <c r="E30" s="73" t="s">
        <v>82</v>
      </c>
      <c r="F30" s="107" t="s">
        <v>1012</v>
      </c>
      <c r="G30" s="114" t="s">
        <v>1405</v>
      </c>
      <c r="H30" s="118"/>
      <c r="I30" t="s">
        <v>1270</v>
      </c>
      <c r="J30" s="73"/>
      <c r="K30" s="73"/>
      <c r="L30" s="73"/>
      <c r="M30" s="73" t="s">
        <v>225</v>
      </c>
      <c r="N30" s="73" t="s">
        <v>9</v>
      </c>
      <c r="O30" s="73" t="s">
        <v>15</v>
      </c>
      <c r="P30" s="2" t="s">
        <v>197</v>
      </c>
      <c r="Q30" s="73" t="s">
        <v>10</v>
      </c>
      <c r="R30" s="73" t="s">
        <v>11</v>
      </c>
      <c r="S30" s="73" t="s">
        <v>12</v>
      </c>
      <c r="T30" s="73" t="s">
        <v>115</v>
      </c>
      <c r="U30" s="73" t="s">
        <v>116</v>
      </c>
      <c r="V30" s="73" t="s">
        <v>13</v>
      </c>
      <c r="W30" s="73" t="s">
        <v>14</v>
      </c>
      <c r="X30" s="73" t="s">
        <v>117</v>
      </c>
      <c r="Y30" s="73" t="s">
        <v>118</v>
      </c>
      <c r="Z30" s="2" t="s">
        <v>384</v>
      </c>
      <c r="AA30" s="2" t="s">
        <v>362</v>
      </c>
      <c r="AB30" s="2" t="s">
        <v>17</v>
      </c>
    </row>
    <row r="31" spans="1:31" x14ac:dyDescent="0.25">
      <c r="A31" s="2" t="s">
        <v>914</v>
      </c>
      <c r="B31" s="14" t="s">
        <v>1125</v>
      </c>
      <c r="C31" s="2">
        <v>2905</v>
      </c>
      <c r="D31" s="73" t="s">
        <v>1126</v>
      </c>
      <c r="E31" s="2" t="s">
        <v>82</v>
      </c>
      <c r="F31" s="107" t="s">
        <v>1127</v>
      </c>
      <c r="G31" s="114" t="s">
        <v>1406</v>
      </c>
      <c r="H31" s="118"/>
      <c r="I31" t="s">
        <v>1269</v>
      </c>
      <c r="J31" s="2"/>
      <c r="K31" s="2"/>
      <c r="L31" s="2"/>
      <c r="M31" s="2" t="s">
        <v>225</v>
      </c>
      <c r="N31" s="2" t="s">
        <v>9</v>
      </c>
      <c r="O31" s="2" t="s">
        <v>15</v>
      </c>
      <c r="P31" s="79" t="s">
        <v>656</v>
      </c>
      <c r="Q31" s="2" t="s">
        <v>197</v>
      </c>
      <c r="R31" s="2" t="s">
        <v>10</v>
      </c>
      <c r="S31" s="2" t="s">
        <v>11</v>
      </c>
      <c r="T31" s="2" t="s">
        <v>12</v>
      </c>
      <c r="U31" s="2" t="s">
        <v>115</v>
      </c>
      <c r="V31" s="2" t="s">
        <v>116</v>
      </c>
      <c r="W31" s="2" t="s">
        <v>13</v>
      </c>
      <c r="X31" s="2" t="s">
        <v>14</v>
      </c>
      <c r="Y31" s="2" t="s">
        <v>117</v>
      </c>
      <c r="Z31" s="2" t="s">
        <v>118</v>
      </c>
      <c r="AA31" s="2" t="s">
        <v>1100</v>
      </c>
      <c r="AB31" s="1" t="s">
        <v>1129</v>
      </c>
      <c r="AC31" s="2" t="s">
        <v>384</v>
      </c>
      <c r="AD31" s="2" t="s">
        <v>362</v>
      </c>
      <c r="AE31" s="2" t="s">
        <v>17</v>
      </c>
    </row>
    <row r="32" spans="1:31" x14ac:dyDescent="0.25">
      <c r="A32" s="2" t="s">
        <v>872</v>
      </c>
      <c r="B32" s="14" t="s">
        <v>915</v>
      </c>
      <c r="C32" s="2">
        <v>2905</v>
      </c>
      <c r="D32" s="73" t="s">
        <v>916</v>
      </c>
      <c r="E32" s="2" t="s">
        <v>82</v>
      </c>
      <c r="F32" s="107" t="s">
        <v>873</v>
      </c>
      <c r="G32" s="114" t="s">
        <v>1405</v>
      </c>
      <c r="H32" s="118"/>
      <c r="I32" t="s">
        <v>1269</v>
      </c>
      <c r="J32" s="2"/>
      <c r="K32" s="2"/>
      <c r="L32" s="2"/>
      <c r="M32" s="2" t="s">
        <v>225</v>
      </c>
      <c r="N32" s="2" t="s">
        <v>9</v>
      </c>
      <c r="O32" s="2" t="s">
        <v>15</v>
      </c>
      <c r="P32" s="2" t="s">
        <v>197</v>
      </c>
      <c r="Q32" s="2" t="s">
        <v>10</v>
      </c>
      <c r="R32" s="2" t="s">
        <v>11</v>
      </c>
      <c r="S32" s="2" t="s">
        <v>12</v>
      </c>
      <c r="T32" s="2" t="s">
        <v>115</v>
      </c>
      <c r="U32" s="2" t="s">
        <v>116</v>
      </c>
      <c r="V32" s="2" t="s">
        <v>13</v>
      </c>
      <c r="W32" s="2" t="s">
        <v>14</v>
      </c>
      <c r="X32" s="2" t="s">
        <v>117</v>
      </c>
      <c r="Y32" s="2" t="s">
        <v>118</v>
      </c>
      <c r="Z32" s="2" t="s">
        <v>951</v>
      </c>
      <c r="AA32" s="2" t="s">
        <v>384</v>
      </c>
      <c r="AB32" s="2" t="s">
        <v>362</v>
      </c>
      <c r="AC32" s="2" t="s">
        <v>17</v>
      </c>
    </row>
    <row r="33" spans="1:31" s="73" customFormat="1" x14ac:dyDescent="0.25">
      <c r="A33" s="73" t="s">
        <v>869</v>
      </c>
      <c r="B33" s="67" t="s">
        <v>1064</v>
      </c>
      <c r="C33" s="2">
        <v>2905</v>
      </c>
      <c r="D33" s="73" t="s">
        <v>1065</v>
      </c>
      <c r="E33" s="73" t="s">
        <v>82</v>
      </c>
      <c r="F33" s="108" t="s">
        <v>1066</v>
      </c>
      <c r="G33" s="114" t="s">
        <v>1407</v>
      </c>
      <c r="H33" s="118"/>
      <c r="I33" s="112"/>
      <c r="M33" s="73" t="s">
        <v>225</v>
      </c>
      <c r="N33" s="2" t="s">
        <v>945</v>
      </c>
      <c r="O33" s="90" t="s">
        <v>384</v>
      </c>
      <c r="P33" s="90" t="s">
        <v>362</v>
      </c>
      <c r="Q33" s="90" t="s">
        <v>17</v>
      </c>
    </row>
    <row r="34" spans="1:31" x14ac:dyDescent="0.25">
      <c r="A34" s="2" t="s">
        <v>918</v>
      </c>
      <c r="B34" s="14" t="s">
        <v>1074</v>
      </c>
      <c r="C34" s="2">
        <v>2905</v>
      </c>
      <c r="D34" s="73" t="s">
        <v>1073</v>
      </c>
      <c r="E34" s="73" t="s">
        <v>82</v>
      </c>
      <c r="F34" s="107" t="s">
        <v>944</v>
      </c>
      <c r="G34" s="114" t="s">
        <v>1408</v>
      </c>
      <c r="H34" s="118"/>
      <c r="I34" t="s">
        <v>1269</v>
      </c>
      <c r="J34" s="2"/>
      <c r="K34" s="2"/>
      <c r="L34" s="2"/>
      <c r="M34" s="73" t="s">
        <v>225</v>
      </c>
      <c r="N34" s="73" t="s">
        <v>9</v>
      </c>
      <c r="O34" s="73" t="s">
        <v>15</v>
      </c>
      <c r="P34" s="79" t="s">
        <v>656</v>
      </c>
      <c r="Q34" s="2" t="s">
        <v>197</v>
      </c>
      <c r="R34" s="73" t="s">
        <v>10</v>
      </c>
      <c r="S34" s="73" t="s">
        <v>11</v>
      </c>
      <c r="T34" s="73" t="s">
        <v>12</v>
      </c>
      <c r="U34" s="73" t="s">
        <v>115</v>
      </c>
      <c r="V34" s="73" t="s">
        <v>116</v>
      </c>
      <c r="W34" s="73" t="s">
        <v>13</v>
      </c>
      <c r="X34" s="73" t="s">
        <v>14</v>
      </c>
      <c r="Y34" s="73" t="s">
        <v>117</v>
      </c>
      <c r="Z34" s="73" t="s">
        <v>118</v>
      </c>
      <c r="AA34" s="2" t="s">
        <v>946</v>
      </c>
      <c r="AB34" s="2" t="s">
        <v>384</v>
      </c>
      <c r="AC34" s="2" t="s">
        <v>362</v>
      </c>
      <c r="AD34" s="2" t="s">
        <v>17</v>
      </c>
    </row>
    <row r="35" spans="1:31" s="79" customFormat="1" x14ac:dyDescent="0.25">
      <c r="A35" s="73" t="s">
        <v>919</v>
      </c>
      <c r="B35" s="67" t="s">
        <v>1093</v>
      </c>
      <c r="C35" s="2">
        <v>2905</v>
      </c>
      <c r="D35" s="73" t="s">
        <v>1094</v>
      </c>
      <c r="E35" s="73" t="s">
        <v>82</v>
      </c>
      <c r="F35" s="107" t="s">
        <v>944</v>
      </c>
      <c r="G35" s="114" t="s">
        <v>1408</v>
      </c>
      <c r="H35" s="118"/>
      <c r="I35" t="s">
        <v>1270</v>
      </c>
      <c r="J35" s="73"/>
      <c r="K35" s="73"/>
      <c r="L35" s="73"/>
      <c r="M35" s="73" t="s">
        <v>225</v>
      </c>
      <c r="N35" s="73" t="s">
        <v>9</v>
      </c>
      <c r="O35" s="73" t="s">
        <v>15</v>
      </c>
      <c r="P35" s="2" t="s">
        <v>197</v>
      </c>
      <c r="Q35" s="73" t="s">
        <v>10</v>
      </c>
      <c r="R35" s="73" t="s">
        <v>11</v>
      </c>
      <c r="S35" s="73" t="s">
        <v>12</v>
      </c>
      <c r="T35" s="73" t="s">
        <v>115</v>
      </c>
      <c r="U35" s="73" t="s">
        <v>116</v>
      </c>
      <c r="V35" s="73" t="s">
        <v>13</v>
      </c>
      <c r="W35" s="73" t="s">
        <v>14</v>
      </c>
      <c r="X35" s="73" t="s">
        <v>117</v>
      </c>
      <c r="Y35" s="73" t="s">
        <v>118</v>
      </c>
      <c r="Z35" s="2" t="s">
        <v>946</v>
      </c>
      <c r="AA35" s="2" t="s">
        <v>384</v>
      </c>
      <c r="AB35" s="2" t="s">
        <v>362</v>
      </c>
      <c r="AC35" s="2" t="s">
        <v>17</v>
      </c>
    </row>
    <row r="36" spans="1:31" s="79" customFormat="1" x14ac:dyDescent="0.25">
      <c r="A36" s="73" t="s">
        <v>920</v>
      </c>
      <c r="B36" s="67" t="s">
        <v>1097</v>
      </c>
      <c r="C36" s="2">
        <v>2905</v>
      </c>
      <c r="D36" s="73" t="s">
        <v>1098</v>
      </c>
      <c r="E36" s="73" t="s">
        <v>82</v>
      </c>
      <c r="F36" s="107" t="s">
        <v>1099</v>
      </c>
      <c r="G36" s="114" t="s">
        <v>1409</v>
      </c>
      <c r="H36" s="118"/>
      <c r="I36" t="s">
        <v>1270</v>
      </c>
      <c r="J36" s="73"/>
      <c r="K36" s="73"/>
      <c r="L36" s="73"/>
      <c r="M36" s="73" t="s">
        <v>225</v>
      </c>
      <c r="N36" s="73" t="s">
        <v>9</v>
      </c>
      <c r="O36" s="73" t="s">
        <v>15</v>
      </c>
      <c r="P36" s="79" t="s">
        <v>656</v>
      </c>
      <c r="Q36" s="2" t="s">
        <v>197</v>
      </c>
      <c r="R36" s="73" t="s">
        <v>10</v>
      </c>
      <c r="S36" s="73" t="s">
        <v>11</v>
      </c>
      <c r="T36" s="73" t="s">
        <v>12</v>
      </c>
      <c r="U36" s="73" t="s">
        <v>115</v>
      </c>
      <c r="V36" s="73" t="s">
        <v>116</v>
      </c>
      <c r="W36" s="73" t="s">
        <v>13</v>
      </c>
      <c r="X36" s="73" t="s">
        <v>14</v>
      </c>
      <c r="Y36" s="73" t="s">
        <v>117</v>
      </c>
      <c r="Z36" s="73" t="s">
        <v>118</v>
      </c>
      <c r="AA36" s="2" t="s">
        <v>1100</v>
      </c>
      <c r="AB36" s="2" t="s">
        <v>384</v>
      </c>
      <c r="AC36" s="2" t="s">
        <v>362</v>
      </c>
      <c r="AD36" s="2" t="s">
        <v>17</v>
      </c>
    </row>
    <row r="37" spans="1:31" x14ac:dyDescent="0.25">
      <c r="A37" s="73" t="s">
        <v>921</v>
      </c>
      <c r="B37" s="67">
        <v>11812</v>
      </c>
      <c r="C37" s="2">
        <v>2905</v>
      </c>
      <c r="D37" s="73" t="s">
        <v>1119</v>
      </c>
      <c r="E37" s="73" t="s">
        <v>82</v>
      </c>
      <c r="F37" s="107" t="s">
        <v>1099</v>
      </c>
      <c r="G37" s="114" t="s">
        <v>1409</v>
      </c>
      <c r="H37" s="118"/>
      <c r="I37" t="s">
        <v>1270</v>
      </c>
      <c r="J37" s="73"/>
      <c r="K37" s="73"/>
      <c r="L37" s="73"/>
      <c r="M37" s="73" t="s">
        <v>225</v>
      </c>
      <c r="N37" s="73" t="s">
        <v>9</v>
      </c>
      <c r="O37" s="73" t="s">
        <v>15</v>
      </c>
      <c r="P37" s="2" t="s">
        <v>197</v>
      </c>
      <c r="Q37" s="73" t="s">
        <v>10</v>
      </c>
      <c r="R37" s="73" t="s">
        <v>11</v>
      </c>
      <c r="S37" s="73" t="s">
        <v>12</v>
      </c>
      <c r="T37" s="73" t="s">
        <v>115</v>
      </c>
      <c r="U37" s="73" t="s">
        <v>116</v>
      </c>
      <c r="V37" s="73" t="s">
        <v>13</v>
      </c>
      <c r="W37" s="73" t="s">
        <v>14</v>
      </c>
      <c r="X37" s="73" t="s">
        <v>117</v>
      </c>
      <c r="Y37" s="73" t="s">
        <v>118</v>
      </c>
      <c r="Z37" s="2" t="s">
        <v>1100</v>
      </c>
      <c r="AA37" s="2" t="s">
        <v>384</v>
      </c>
      <c r="AB37" s="2" t="s">
        <v>362</v>
      </c>
      <c r="AC37" s="2" t="s">
        <v>17</v>
      </c>
    </row>
    <row r="38" spans="1:31" x14ac:dyDescent="0.25">
      <c r="A38" s="2" t="s">
        <v>922</v>
      </c>
      <c r="B38" s="14" t="s">
        <v>1143</v>
      </c>
      <c r="C38" s="2">
        <v>2905</v>
      </c>
      <c r="D38" s="73" t="s">
        <v>1142</v>
      </c>
      <c r="E38" s="73" t="s">
        <v>82</v>
      </c>
      <c r="F38" s="107" t="s">
        <v>1141</v>
      </c>
      <c r="G38" s="114" t="s">
        <v>1410</v>
      </c>
      <c r="H38" s="118"/>
      <c r="I38" t="s">
        <v>1270</v>
      </c>
      <c r="J38" s="2"/>
      <c r="K38" s="2"/>
      <c r="L38" s="2"/>
      <c r="M38" s="2" t="s">
        <v>225</v>
      </c>
      <c r="N38" s="2" t="s">
        <v>9</v>
      </c>
      <c r="O38" s="2" t="s">
        <v>15</v>
      </c>
      <c r="P38" s="79" t="s">
        <v>656</v>
      </c>
      <c r="Q38" s="2" t="s">
        <v>197</v>
      </c>
      <c r="R38" s="2" t="s">
        <v>10</v>
      </c>
      <c r="S38" s="2" t="s">
        <v>11</v>
      </c>
      <c r="T38" s="2" t="s">
        <v>12</v>
      </c>
      <c r="U38" s="2" t="s">
        <v>115</v>
      </c>
      <c r="V38" s="2" t="s">
        <v>116</v>
      </c>
      <c r="W38" s="2" t="s">
        <v>13</v>
      </c>
      <c r="X38" s="2" t="s">
        <v>14</v>
      </c>
      <c r="Y38" s="2" t="s">
        <v>117</v>
      </c>
      <c r="Z38" s="2" t="s">
        <v>118</v>
      </c>
      <c r="AA38" s="2" t="s">
        <v>1100</v>
      </c>
      <c r="AB38" s="1" t="s">
        <v>1146</v>
      </c>
      <c r="AC38" s="2" t="s">
        <v>384</v>
      </c>
      <c r="AD38" s="2" t="s">
        <v>362</v>
      </c>
      <c r="AE38" s="2" t="s">
        <v>17</v>
      </c>
    </row>
    <row r="39" spans="1:31" x14ac:dyDescent="0.25">
      <c r="A39" s="2" t="s">
        <v>1121</v>
      </c>
      <c r="B39" s="14">
        <v>11820</v>
      </c>
      <c r="C39" s="2">
        <v>2905</v>
      </c>
      <c r="D39" s="73" t="s">
        <v>1156</v>
      </c>
      <c r="E39" s="73" t="s">
        <v>82</v>
      </c>
      <c r="F39" s="107" t="s">
        <v>1141</v>
      </c>
      <c r="G39" s="114" t="s">
        <v>1410</v>
      </c>
      <c r="H39" s="117"/>
      <c r="I39" t="s">
        <v>1270</v>
      </c>
      <c r="J39" s="2"/>
      <c r="K39" s="2"/>
      <c r="L39" s="2"/>
      <c r="M39" s="2" t="s">
        <v>225</v>
      </c>
      <c r="N39" s="2" t="s">
        <v>9</v>
      </c>
      <c r="O39" s="2" t="s">
        <v>15</v>
      </c>
      <c r="P39" s="2" t="s">
        <v>197</v>
      </c>
      <c r="Q39" s="2" t="s">
        <v>10</v>
      </c>
      <c r="R39" s="2" t="s">
        <v>11</v>
      </c>
      <c r="S39" s="2" t="s">
        <v>12</v>
      </c>
      <c r="T39" s="2" t="s">
        <v>115</v>
      </c>
      <c r="U39" s="2" t="s">
        <v>116</v>
      </c>
      <c r="V39" s="2" t="s">
        <v>13</v>
      </c>
      <c r="W39" s="2" t="s">
        <v>14</v>
      </c>
      <c r="X39" s="2" t="s">
        <v>117</v>
      </c>
      <c r="Y39" s="2" t="s">
        <v>118</v>
      </c>
      <c r="Z39" s="2" t="s">
        <v>1100</v>
      </c>
      <c r="AA39" s="1" t="s">
        <v>1146</v>
      </c>
      <c r="AB39" s="2" t="s">
        <v>384</v>
      </c>
      <c r="AC39" s="2" t="s">
        <v>362</v>
      </c>
      <c r="AD39" s="2" t="s">
        <v>17</v>
      </c>
    </row>
    <row r="40" spans="1:31" x14ac:dyDescent="0.25">
      <c r="A40" s="2" t="s">
        <v>1122</v>
      </c>
      <c r="B40" s="100">
        <v>5265</v>
      </c>
      <c r="C40" s="2">
        <v>2905</v>
      </c>
      <c r="D40" s="92" t="s">
        <v>1159</v>
      </c>
      <c r="E40" s="73" t="s">
        <v>82</v>
      </c>
      <c r="F40" s="109" t="s">
        <v>1357</v>
      </c>
      <c r="G40" s="114" t="s">
        <v>1411</v>
      </c>
      <c r="H40" s="117"/>
      <c r="I40" t="s">
        <v>1270</v>
      </c>
      <c r="J40" s="99"/>
      <c r="K40" s="99"/>
      <c r="L40" s="99"/>
      <c r="M40" s="99" t="s">
        <v>225</v>
      </c>
      <c r="N40" s="2" t="s">
        <v>9</v>
      </c>
      <c r="O40" s="2" t="s">
        <v>15</v>
      </c>
      <c r="P40" s="99" t="s">
        <v>10</v>
      </c>
      <c r="Q40" s="99" t="s">
        <v>564</v>
      </c>
      <c r="R40" s="2" t="s">
        <v>384</v>
      </c>
      <c r="S40" s="58" t="s">
        <v>362</v>
      </c>
      <c r="T40" s="2" t="s">
        <v>17</v>
      </c>
    </row>
    <row r="41" spans="1:31" x14ac:dyDescent="0.25">
      <c r="A41" s="2" t="s">
        <v>1123</v>
      </c>
      <c r="B41" s="14">
        <v>5266</v>
      </c>
      <c r="C41" s="2">
        <v>2905</v>
      </c>
      <c r="D41" s="2" t="s">
        <v>1160</v>
      </c>
      <c r="E41" s="73" t="s">
        <v>82</v>
      </c>
      <c r="F41" s="109" t="s">
        <v>1357</v>
      </c>
      <c r="G41" s="114" t="s">
        <v>1411</v>
      </c>
      <c r="H41" s="117"/>
      <c r="I41" t="s">
        <v>1270</v>
      </c>
      <c r="J41" s="64"/>
      <c r="K41" s="55"/>
      <c r="L41" s="55"/>
      <c r="M41" s="55" t="s">
        <v>225</v>
      </c>
      <c r="N41" s="55" t="s">
        <v>9</v>
      </c>
      <c r="O41" s="55" t="s">
        <v>15</v>
      </c>
      <c r="P41" s="55" t="s">
        <v>10</v>
      </c>
      <c r="Q41" s="55" t="s">
        <v>564</v>
      </c>
      <c r="R41" s="2" t="s">
        <v>384</v>
      </c>
      <c r="S41" s="58" t="s">
        <v>362</v>
      </c>
      <c r="T41" s="2" t="s">
        <v>17</v>
      </c>
    </row>
    <row r="42" spans="1:31" x14ac:dyDescent="0.25">
      <c r="A42" s="2" t="s">
        <v>1157</v>
      </c>
      <c r="B42" s="14">
        <v>5267</v>
      </c>
      <c r="C42" s="2">
        <v>2905</v>
      </c>
      <c r="D42" s="2" t="s">
        <v>1161</v>
      </c>
      <c r="E42" s="73" t="s">
        <v>82</v>
      </c>
      <c r="F42" s="109" t="s">
        <v>1357</v>
      </c>
      <c r="G42" s="114" t="s">
        <v>1411</v>
      </c>
      <c r="H42" s="117"/>
      <c r="I42" t="s">
        <v>1270</v>
      </c>
      <c r="J42" s="27"/>
      <c r="K42" s="2"/>
      <c r="L42" s="2"/>
      <c r="M42" s="2" t="s">
        <v>225</v>
      </c>
      <c r="N42" s="2" t="s">
        <v>9</v>
      </c>
      <c r="O42" s="2" t="s">
        <v>15</v>
      </c>
      <c r="P42" s="2" t="s">
        <v>10</v>
      </c>
      <c r="Q42" s="2" t="s">
        <v>564</v>
      </c>
      <c r="R42" s="2" t="s">
        <v>384</v>
      </c>
      <c r="S42" s="58" t="s">
        <v>362</v>
      </c>
      <c r="T42" s="2" t="s">
        <v>17</v>
      </c>
      <c r="U42" s="2"/>
      <c r="V42" s="2"/>
      <c r="W42" s="2"/>
      <c r="X42" s="2"/>
      <c r="Y42" s="2"/>
      <c r="Z42" s="2"/>
      <c r="AA42" s="2"/>
      <c r="AB42" s="2"/>
      <c r="AC42" s="2"/>
    </row>
    <row r="43" spans="1:31" x14ac:dyDescent="0.25">
      <c r="A43" s="2" t="s">
        <v>1163</v>
      </c>
      <c r="B43" s="14">
        <v>5286</v>
      </c>
      <c r="C43" s="2">
        <v>2905</v>
      </c>
      <c r="D43" s="2" t="s">
        <v>1162</v>
      </c>
      <c r="E43" s="73" t="s">
        <v>82</v>
      </c>
      <c r="F43" s="109" t="s">
        <v>1357</v>
      </c>
      <c r="G43" s="114" t="s">
        <v>1411</v>
      </c>
      <c r="H43" s="117"/>
      <c r="I43" t="s">
        <v>1270</v>
      </c>
      <c r="J43" s="27"/>
      <c r="K43" s="2"/>
      <c r="L43" s="2"/>
      <c r="M43" s="2" t="s">
        <v>225</v>
      </c>
      <c r="N43" s="2" t="s">
        <v>9</v>
      </c>
      <c r="O43" s="2" t="s">
        <v>15</v>
      </c>
      <c r="P43" s="2" t="s">
        <v>10</v>
      </c>
      <c r="Q43" s="2" t="s">
        <v>564</v>
      </c>
      <c r="R43" s="2" t="s">
        <v>384</v>
      </c>
      <c r="S43" s="58" t="s">
        <v>362</v>
      </c>
      <c r="T43" s="2" t="s">
        <v>17</v>
      </c>
      <c r="U43" s="2"/>
      <c r="V43" s="2"/>
      <c r="W43" s="2"/>
      <c r="X43" s="2"/>
      <c r="Y43" s="2"/>
      <c r="Z43" s="2"/>
      <c r="AA43" s="2"/>
      <c r="AB43" s="2"/>
      <c r="AC43" s="2"/>
    </row>
    <row r="44" spans="1:31" x14ac:dyDescent="0.25">
      <c r="A44" s="2" t="s">
        <v>1164</v>
      </c>
      <c r="B44" s="14">
        <v>5269</v>
      </c>
      <c r="C44" s="2">
        <v>2905</v>
      </c>
      <c r="D44" s="2" t="s">
        <v>1232</v>
      </c>
      <c r="E44" s="73" t="s">
        <v>82</v>
      </c>
      <c r="F44" s="109" t="s">
        <v>1357</v>
      </c>
      <c r="G44" s="114" t="s">
        <v>1411</v>
      </c>
      <c r="H44" s="117"/>
      <c r="I44" t="s">
        <v>1270</v>
      </c>
      <c r="J44" s="27"/>
      <c r="K44" s="2"/>
      <c r="L44" s="2"/>
      <c r="M44" s="2" t="s">
        <v>225</v>
      </c>
      <c r="N44" s="2" t="s">
        <v>9</v>
      </c>
      <c r="O44" s="2" t="s">
        <v>15</v>
      </c>
      <c r="P44" s="2" t="s">
        <v>10</v>
      </c>
      <c r="Q44" s="2" t="s">
        <v>564</v>
      </c>
      <c r="R44" s="73" t="s">
        <v>1430</v>
      </c>
      <c r="S44" s="2" t="s">
        <v>384</v>
      </c>
      <c r="T44" s="58" t="s">
        <v>362</v>
      </c>
      <c r="U44" s="2" t="s">
        <v>17</v>
      </c>
      <c r="V44" s="2"/>
      <c r="W44" s="2"/>
      <c r="X44" s="2"/>
      <c r="Y44" s="2"/>
      <c r="Z44" s="2"/>
      <c r="AA44" s="2"/>
      <c r="AB44" s="2"/>
      <c r="AC44" s="2"/>
      <c r="AD44" s="2"/>
    </row>
    <row r="45" spans="1:31" x14ac:dyDescent="0.25">
      <c r="A45" s="2" t="s">
        <v>1165</v>
      </c>
      <c r="B45" s="14" t="s">
        <v>1487</v>
      </c>
      <c r="C45" s="2">
        <v>2905</v>
      </c>
      <c r="D45" s="73" t="s">
        <v>1352</v>
      </c>
      <c r="E45" s="2" t="s">
        <v>82</v>
      </c>
      <c r="F45" s="107" t="s">
        <v>1358</v>
      </c>
      <c r="G45" s="114" t="s">
        <v>1412</v>
      </c>
      <c r="H45" s="117"/>
      <c r="I45" t="s">
        <v>1270</v>
      </c>
      <c r="J45" s="2"/>
      <c r="K45" s="2"/>
      <c r="L45" s="2"/>
      <c r="M45" s="2" t="s">
        <v>225</v>
      </c>
      <c r="N45" s="2" t="s">
        <v>9</v>
      </c>
      <c r="O45" s="2" t="s">
        <v>15</v>
      </c>
      <c r="P45" s="2" t="s">
        <v>10</v>
      </c>
      <c r="Q45" s="2" t="s">
        <v>564</v>
      </c>
      <c r="R45" s="2" t="s">
        <v>384</v>
      </c>
      <c r="S45" s="58" t="s">
        <v>362</v>
      </c>
      <c r="T45" s="2" t="s">
        <v>17</v>
      </c>
      <c r="U45" s="2"/>
      <c r="V45" s="2"/>
      <c r="W45" s="2"/>
      <c r="X45" s="2"/>
      <c r="Y45" s="2"/>
      <c r="Z45" s="58"/>
      <c r="AA45" s="2"/>
      <c r="AB45" s="2"/>
      <c r="AC45" s="2"/>
      <c r="AD45" s="2"/>
    </row>
    <row r="46" spans="1:31" x14ac:dyDescent="0.25">
      <c r="A46" s="2" t="s">
        <v>1166</v>
      </c>
      <c r="B46" s="14" t="s">
        <v>1567</v>
      </c>
      <c r="C46" s="2">
        <v>2905</v>
      </c>
      <c r="D46" s="2" t="s">
        <v>1353</v>
      </c>
      <c r="E46" s="2" t="s">
        <v>82</v>
      </c>
      <c r="F46" s="107" t="s">
        <v>1358</v>
      </c>
      <c r="G46" s="114" t="s">
        <v>1412</v>
      </c>
      <c r="H46" s="117"/>
      <c r="I46" t="s">
        <v>1270</v>
      </c>
      <c r="J46" s="2"/>
      <c r="K46" s="2"/>
      <c r="L46" s="2"/>
      <c r="M46" s="2" t="s">
        <v>225</v>
      </c>
      <c r="N46" s="2" t="s">
        <v>9</v>
      </c>
      <c r="O46" s="2" t="s">
        <v>15</v>
      </c>
      <c r="P46" s="2" t="s">
        <v>10</v>
      </c>
      <c r="Q46" s="2" t="s">
        <v>564</v>
      </c>
      <c r="R46" s="2" t="s">
        <v>384</v>
      </c>
      <c r="S46" s="58" t="s">
        <v>362</v>
      </c>
      <c r="T46" s="2" t="s">
        <v>17</v>
      </c>
      <c r="U46" s="2"/>
      <c r="V46" s="2"/>
      <c r="W46" s="2"/>
      <c r="X46" s="2"/>
      <c r="Y46" s="2"/>
      <c r="Z46" s="58"/>
      <c r="AA46" s="2"/>
      <c r="AB46" s="2"/>
      <c r="AC46" s="2"/>
      <c r="AD46" s="2"/>
    </row>
    <row r="47" spans="1:31" x14ac:dyDescent="0.25">
      <c r="A47" s="2" t="s">
        <v>1167</v>
      </c>
      <c r="B47" s="14" t="s">
        <v>1496</v>
      </c>
      <c r="C47" s="2">
        <v>2905</v>
      </c>
      <c r="D47" s="2" t="s">
        <v>1354</v>
      </c>
      <c r="E47" s="2" t="s">
        <v>82</v>
      </c>
      <c r="F47" s="107" t="s">
        <v>1358</v>
      </c>
      <c r="G47" s="114" t="s">
        <v>1412</v>
      </c>
      <c r="H47" s="117"/>
      <c r="I47" t="s">
        <v>1270</v>
      </c>
      <c r="J47" s="2"/>
      <c r="K47" s="2"/>
      <c r="L47" s="2"/>
      <c r="M47" s="2" t="s">
        <v>225</v>
      </c>
      <c r="N47" s="2" t="s">
        <v>9</v>
      </c>
      <c r="O47" s="2" t="s">
        <v>15</v>
      </c>
      <c r="P47" s="2" t="s">
        <v>10</v>
      </c>
      <c r="Q47" s="2" t="s">
        <v>564</v>
      </c>
      <c r="R47" s="2" t="s">
        <v>384</v>
      </c>
      <c r="S47" s="58" t="s">
        <v>362</v>
      </c>
      <c r="T47" s="2" t="s">
        <v>17</v>
      </c>
      <c r="U47" s="2"/>
      <c r="V47" s="2"/>
      <c r="W47" s="2"/>
      <c r="X47" s="2"/>
      <c r="Y47" s="2"/>
      <c r="Z47" s="58"/>
      <c r="AA47" s="2"/>
      <c r="AB47" s="2"/>
      <c r="AC47" s="2"/>
      <c r="AD47" s="2"/>
    </row>
    <row r="48" spans="1:31" x14ac:dyDescent="0.25">
      <c r="A48" s="2" t="s">
        <v>1168</v>
      </c>
      <c r="B48" s="14" t="s">
        <v>1515</v>
      </c>
      <c r="C48" s="2">
        <v>2905</v>
      </c>
      <c r="D48" s="2" t="s">
        <v>1355</v>
      </c>
      <c r="E48" s="2" t="s">
        <v>82</v>
      </c>
      <c r="F48" s="107" t="s">
        <v>1358</v>
      </c>
      <c r="G48" s="114" t="s">
        <v>1412</v>
      </c>
      <c r="H48" s="117"/>
      <c r="I48" t="s">
        <v>1270</v>
      </c>
      <c r="J48" s="2"/>
      <c r="K48" s="2"/>
      <c r="L48" s="2"/>
      <c r="M48" s="2" t="s">
        <v>225</v>
      </c>
      <c r="N48" s="2" t="s">
        <v>9</v>
      </c>
      <c r="O48" s="2" t="s">
        <v>15</v>
      </c>
      <c r="P48" s="2" t="s">
        <v>10</v>
      </c>
      <c r="Q48" s="2" t="s">
        <v>564</v>
      </c>
      <c r="R48" s="2" t="s">
        <v>384</v>
      </c>
      <c r="S48" s="58" t="s">
        <v>362</v>
      </c>
      <c r="T48" s="2" t="s">
        <v>17</v>
      </c>
      <c r="U48" s="2"/>
      <c r="V48" s="2"/>
      <c r="W48" s="2"/>
      <c r="X48" s="2"/>
      <c r="Y48" s="2"/>
      <c r="Z48" s="58"/>
      <c r="AA48" s="2"/>
      <c r="AB48" s="2"/>
      <c r="AC48" s="2"/>
      <c r="AD48" s="2"/>
    </row>
    <row r="49" spans="1:30" x14ac:dyDescent="0.25">
      <c r="A49" s="2" t="s">
        <v>1169</v>
      </c>
      <c r="B49" s="2">
        <v>5300</v>
      </c>
      <c r="C49" s="2">
        <v>2905</v>
      </c>
      <c r="D49" s="2" t="s">
        <v>1356</v>
      </c>
      <c r="E49" s="2" t="s">
        <v>82</v>
      </c>
      <c r="F49" s="107" t="s">
        <v>1358</v>
      </c>
      <c r="G49" s="114" t="s">
        <v>1412</v>
      </c>
      <c r="H49" s="117"/>
      <c r="I49" t="s">
        <v>1270</v>
      </c>
      <c r="J49" s="2"/>
      <c r="K49" s="2"/>
      <c r="L49" s="2"/>
      <c r="M49" s="2" t="s">
        <v>225</v>
      </c>
      <c r="N49" s="2" t="s">
        <v>9</v>
      </c>
      <c r="O49" s="2" t="s">
        <v>15</v>
      </c>
      <c r="P49" s="2" t="s">
        <v>10</v>
      </c>
      <c r="Q49" s="2" t="s">
        <v>564</v>
      </c>
      <c r="R49" s="73" t="s">
        <v>1430</v>
      </c>
      <c r="S49" s="2" t="s">
        <v>384</v>
      </c>
      <c r="T49" s="58" t="s">
        <v>362</v>
      </c>
      <c r="U49" s="2" t="s">
        <v>17</v>
      </c>
      <c r="V49" s="2"/>
      <c r="W49" s="2"/>
      <c r="X49" s="2"/>
      <c r="Y49" s="2"/>
    </row>
    <row r="50" spans="1:30" x14ac:dyDescent="0.25">
      <c r="A50" s="2" t="s">
        <v>1170</v>
      </c>
      <c r="B50" s="2">
        <v>5301</v>
      </c>
      <c r="C50" s="2">
        <v>2905</v>
      </c>
      <c r="D50" s="2" t="s">
        <v>1707</v>
      </c>
      <c r="E50" s="2" t="s">
        <v>82</v>
      </c>
      <c r="F50" s="107" t="s">
        <v>1358</v>
      </c>
      <c r="G50" s="114" t="s">
        <v>1412</v>
      </c>
      <c r="H50" s="117"/>
      <c r="I50" t="s">
        <v>1270</v>
      </c>
      <c r="J50" s="2"/>
      <c r="K50" s="2"/>
      <c r="L50" s="2"/>
      <c r="M50" s="2" t="s">
        <v>225</v>
      </c>
      <c r="N50" s="2" t="s">
        <v>9</v>
      </c>
      <c r="O50" s="2" t="s">
        <v>15</v>
      </c>
      <c r="P50" s="2" t="s">
        <v>10</v>
      </c>
      <c r="Q50" s="2" t="s">
        <v>564</v>
      </c>
      <c r="R50" s="73" t="s">
        <v>1430</v>
      </c>
      <c r="S50" s="2" t="s">
        <v>1704</v>
      </c>
      <c r="T50" s="2" t="s">
        <v>384</v>
      </c>
      <c r="U50" s="2" t="s">
        <v>362</v>
      </c>
      <c r="V50" s="2" t="s">
        <v>17</v>
      </c>
      <c r="W50" s="2"/>
      <c r="X50" s="2"/>
      <c r="Y50" s="2"/>
    </row>
    <row r="51" spans="1:30" x14ac:dyDescent="0.25">
      <c r="A51" s="2" t="s">
        <v>1171</v>
      </c>
      <c r="B51" s="2">
        <v>5302</v>
      </c>
      <c r="C51" s="2">
        <v>2905</v>
      </c>
      <c r="D51" s="2" t="s">
        <v>1715</v>
      </c>
      <c r="E51" s="2" t="s">
        <v>82</v>
      </c>
      <c r="F51" s="107" t="s">
        <v>1358</v>
      </c>
      <c r="G51" s="114" t="s">
        <v>1412</v>
      </c>
      <c r="H51" s="117"/>
      <c r="I51" t="s">
        <v>1270</v>
      </c>
      <c r="J51" s="2"/>
      <c r="K51" s="2"/>
      <c r="L51" s="2"/>
      <c r="M51" s="2" t="s">
        <v>225</v>
      </c>
      <c r="N51" s="2" t="s">
        <v>9</v>
      </c>
      <c r="O51" s="2" t="s">
        <v>15</v>
      </c>
      <c r="P51" s="2" t="s">
        <v>10</v>
      </c>
      <c r="Q51" s="2" t="s">
        <v>564</v>
      </c>
      <c r="R51" s="73" t="s">
        <v>1430</v>
      </c>
      <c r="S51" s="2" t="s">
        <v>1704</v>
      </c>
      <c r="T51" s="2" t="s">
        <v>384</v>
      </c>
      <c r="U51" s="2" t="s">
        <v>362</v>
      </c>
      <c r="V51" s="2" t="s">
        <v>17</v>
      </c>
      <c r="W51" s="2"/>
      <c r="X51" s="2"/>
      <c r="Y51" s="2"/>
    </row>
    <row r="52" spans="1:30" x14ac:dyDescent="0.25">
      <c r="A52" s="2" t="s">
        <v>1172</v>
      </c>
      <c r="B52" s="14" t="s">
        <v>1740</v>
      </c>
      <c r="C52" s="2">
        <v>2905</v>
      </c>
      <c r="D52" s="2" t="s">
        <v>1735</v>
      </c>
      <c r="E52" s="2" t="s">
        <v>82</v>
      </c>
      <c r="F52" s="107" t="s">
        <v>1358</v>
      </c>
      <c r="G52" s="114" t="s">
        <v>1412</v>
      </c>
      <c r="H52" s="117"/>
      <c r="I52" t="s">
        <v>1270</v>
      </c>
      <c r="J52" s="2"/>
      <c r="K52" s="2"/>
      <c r="L52" s="2"/>
      <c r="M52" s="2" t="s">
        <v>225</v>
      </c>
      <c r="N52" s="2" t="s">
        <v>9</v>
      </c>
      <c r="O52" s="2" t="s">
        <v>15</v>
      </c>
      <c r="P52" s="2" t="s">
        <v>10</v>
      </c>
      <c r="Q52" s="2" t="s">
        <v>564</v>
      </c>
      <c r="R52" s="73" t="s">
        <v>1430</v>
      </c>
      <c r="S52" s="2" t="s">
        <v>1704</v>
      </c>
      <c r="T52" s="2" t="s">
        <v>384</v>
      </c>
      <c r="U52" s="2" t="s">
        <v>362</v>
      </c>
      <c r="V52" s="2" t="s">
        <v>17</v>
      </c>
      <c r="W52" s="2"/>
      <c r="X52" s="2"/>
      <c r="Y52" s="2"/>
    </row>
    <row r="53" spans="1:30" x14ac:dyDescent="0.25">
      <c r="A53" s="2" t="s">
        <v>1173</v>
      </c>
      <c r="B53" s="14">
        <v>5299</v>
      </c>
      <c r="C53" s="2">
        <v>2905</v>
      </c>
      <c r="D53" s="2" t="s">
        <v>1746</v>
      </c>
      <c r="E53" s="2" t="s">
        <v>82</v>
      </c>
      <c r="F53" s="107" t="s">
        <v>1358</v>
      </c>
      <c r="G53" s="114" t="s">
        <v>1412</v>
      </c>
      <c r="H53" s="117"/>
      <c r="I53" t="s">
        <v>1270</v>
      </c>
      <c r="J53" s="2"/>
      <c r="K53" s="2"/>
      <c r="L53" s="2"/>
      <c r="M53" s="2" t="s">
        <v>225</v>
      </c>
      <c r="N53" s="2" t="s">
        <v>9</v>
      </c>
      <c r="O53" s="2" t="s">
        <v>15</v>
      </c>
      <c r="P53" s="2" t="s">
        <v>10</v>
      </c>
      <c r="Q53" s="2" t="s">
        <v>564</v>
      </c>
      <c r="R53" s="73" t="s">
        <v>1430</v>
      </c>
      <c r="S53" s="2" t="s">
        <v>1704</v>
      </c>
      <c r="T53" s="2" t="s">
        <v>384</v>
      </c>
      <c r="U53" s="2" t="s">
        <v>362</v>
      </c>
      <c r="V53" s="2" t="s">
        <v>17</v>
      </c>
      <c r="W53" s="2"/>
      <c r="X53" s="2"/>
      <c r="Y53" s="2"/>
    </row>
    <row r="54" spans="1:30" x14ac:dyDescent="0.25">
      <c r="A54" s="2" t="s">
        <v>1227</v>
      </c>
      <c r="B54" s="14">
        <v>5308</v>
      </c>
      <c r="C54" s="2">
        <v>2905</v>
      </c>
      <c r="D54" s="2" t="s">
        <v>1759</v>
      </c>
      <c r="E54" s="2" t="s">
        <v>82</v>
      </c>
      <c r="F54" s="107" t="s">
        <v>1358</v>
      </c>
      <c r="G54" s="114" t="s">
        <v>1412</v>
      </c>
      <c r="H54" s="135"/>
      <c r="I54" t="s">
        <v>1270</v>
      </c>
      <c r="J54" s="2"/>
      <c r="K54" s="2"/>
      <c r="L54" s="2"/>
      <c r="M54" s="2" t="s">
        <v>225</v>
      </c>
      <c r="N54" s="2" t="s">
        <v>9</v>
      </c>
      <c r="O54" s="2" t="s">
        <v>15</v>
      </c>
      <c r="P54" s="2" t="s">
        <v>10</v>
      </c>
      <c r="Q54" s="2" t="s">
        <v>564</v>
      </c>
      <c r="R54" s="73" t="s">
        <v>1430</v>
      </c>
      <c r="S54" s="2" t="s">
        <v>1704</v>
      </c>
      <c r="T54" s="2" t="s">
        <v>384</v>
      </c>
      <c r="U54" s="2" t="s">
        <v>362</v>
      </c>
      <c r="V54" s="2" t="s">
        <v>17</v>
      </c>
      <c r="W54" s="2"/>
      <c r="X54" s="2"/>
      <c r="Y54" s="2"/>
    </row>
    <row r="55" spans="1:30" x14ac:dyDescent="0.25">
      <c r="A55" s="2" t="s">
        <v>1228</v>
      </c>
      <c r="B55" s="14">
        <v>5310</v>
      </c>
      <c r="C55" s="2">
        <v>2905</v>
      </c>
      <c r="D55" s="2" t="s">
        <v>1760</v>
      </c>
      <c r="E55" s="2" t="s">
        <v>82</v>
      </c>
      <c r="F55" s="107" t="s">
        <v>1358</v>
      </c>
      <c r="G55" s="114" t="s">
        <v>1412</v>
      </c>
      <c r="H55" s="135"/>
      <c r="I55" t="s">
        <v>1270</v>
      </c>
      <c r="J55" s="2"/>
      <c r="K55" s="2"/>
      <c r="L55" s="2"/>
      <c r="M55" s="2" t="s">
        <v>225</v>
      </c>
      <c r="N55" s="2" t="s">
        <v>9</v>
      </c>
      <c r="O55" s="2" t="s">
        <v>15</v>
      </c>
      <c r="P55" s="2" t="s">
        <v>10</v>
      </c>
      <c r="Q55" s="2" t="s">
        <v>564</v>
      </c>
      <c r="R55" s="73" t="s">
        <v>1430</v>
      </c>
      <c r="S55" s="2" t="s">
        <v>1704</v>
      </c>
      <c r="T55" s="2" t="s">
        <v>384</v>
      </c>
      <c r="U55" s="2" t="s">
        <v>362</v>
      </c>
      <c r="V55" s="2" t="s">
        <v>17</v>
      </c>
      <c r="W55" s="2"/>
      <c r="X55" s="2"/>
      <c r="Y55" s="2"/>
    </row>
    <row r="56" spans="1:30" x14ac:dyDescent="0.25">
      <c r="A56" s="2" t="s">
        <v>1229</v>
      </c>
      <c r="B56" s="14">
        <v>5309</v>
      </c>
      <c r="C56" s="2">
        <v>2905</v>
      </c>
      <c r="D56" s="2" t="s">
        <v>1777</v>
      </c>
      <c r="E56" s="2" t="s">
        <v>82</v>
      </c>
      <c r="F56" s="107" t="s">
        <v>1358</v>
      </c>
      <c r="G56" s="114" t="s">
        <v>1412</v>
      </c>
      <c r="H56" s="135"/>
      <c r="I56" t="s">
        <v>1270</v>
      </c>
      <c r="J56" s="2"/>
      <c r="K56" s="2"/>
      <c r="L56" s="2"/>
      <c r="M56" s="2" t="s">
        <v>225</v>
      </c>
      <c r="N56" s="2" t="s">
        <v>9</v>
      </c>
      <c r="O56" s="2" t="s">
        <v>15</v>
      </c>
      <c r="P56" s="2" t="s">
        <v>10</v>
      </c>
      <c r="Q56" s="2" t="s">
        <v>564</v>
      </c>
      <c r="R56" s="73" t="s">
        <v>1430</v>
      </c>
      <c r="S56" s="2" t="s">
        <v>1958</v>
      </c>
      <c r="T56" s="2" t="s">
        <v>384</v>
      </c>
      <c r="U56" s="2" t="s">
        <v>362</v>
      </c>
      <c r="V56" s="2" t="s">
        <v>17</v>
      </c>
      <c r="W56" s="2"/>
      <c r="X56" s="2"/>
      <c r="Y56" s="2"/>
    </row>
    <row r="57" spans="1:30" x14ac:dyDescent="0.25">
      <c r="A57" s="2" t="s">
        <v>1230</v>
      </c>
      <c r="B57" s="14">
        <v>5307</v>
      </c>
      <c r="C57" s="2">
        <v>2905</v>
      </c>
      <c r="D57" s="2" t="s">
        <v>2165</v>
      </c>
      <c r="E57" s="2" t="s">
        <v>82</v>
      </c>
      <c r="F57" s="107" t="s">
        <v>1358</v>
      </c>
      <c r="G57" s="114" t="s">
        <v>1412</v>
      </c>
      <c r="H57" s="135">
        <v>39</v>
      </c>
      <c r="I57" t="s">
        <v>1270</v>
      </c>
      <c r="J57" s="2"/>
      <c r="K57" s="2"/>
      <c r="L57" s="2"/>
      <c r="M57" s="2" t="s">
        <v>225</v>
      </c>
      <c r="N57" s="2" t="s">
        <v>9</v>
      </c>
      <c r="O57" s="2" t="s">
        <v>15</v>
      </c>
      <c r="P57" s="2" t="s">
        <v>10</v>
      </c>
      <c r="Q57" s="2" t="s">
        <v>564</v>
      </c>
      <c r="R57" s="73" t="s">
        <v>1430</v>
      </c>
      <c r="S57" s="2" t="s">
        <v>1958</v>
      </c>
      <c r="T57" s="2" t="s">
        <v>384</v>
      </c>
      <c r="U57" s="2" t="s">
        <v>362</v>
      </c>
      <c r="V57" s="2" t="s">
        <v>17</v>
      </c>
      <c r="W57" s="2"/>
      <c r="X57" s="2"/>
      <c r="Y57" s="2"/>
    </row>
    <row r="58" spans="1:30" x14ac:dyDescent="0.25">
      <c r="A58" s="2" t="s">
        <v>1231</v>
      </c>
      <c r="B58" s="14">
        <v>5270</v>
      </c>
      <c r="C58" s="2">
        <v>2905</v>
      </c>
      <c r="D58" s="2" t="s">
        <v>2127</v>
      </c>
      <c r="E58" s="2" t="s">
        <v>82</v>
      </c>
      <c r="F58" s="109" t="s">
        <v>1357</v>
      </c>
      <c r="G58" s="114" t="s">
        <v>2015</v>
      </c>
      <c r="H58" s="117"/>
      <c r="I58" t="s">
        <v>1270</v>
      </c>
      <c r="J58" s="27"/>
      <c r="K58" s="2"/>
      <c r="L58" s="2"/>
      <c r="M58" s="2" t="s">
        <v>225</v>
      </c>
      <c r="N58" s="2" t="s">
        <v>9</v>
      </c>
      <c r="O58" s="2" t="s">
        <v>15</v>
      </c>
      <c r="P58" s="2" t="s">
        <v>10</v>
      </c>
      <c r="Q58" s="2" t="s">
        <v>564</v>
      </c>
      <c r="R58" s="73" t="s">
        <v>1430</v>
      </c>
      <c r="S58" s="2" t="s">
        <v>1704</v>
      </c>
      <c r="T58" s="2" t="s">
        <v>384</v>
      </c>
      <c r="U58" s="58" t="s">
        <v>362</v>
      </c>
      <c r="V58" s="2" t="s">
        <v>17</v>
      </c>
      <c r="W58" s="2"/>
      <c r="X58" s="2"/>
      <c r="Y58" s="2"/>
      <c r="Z58" s="2"/>
      <c r="AA58" s="2"/>
      <c r="AB58" s="2"/>
      <c r="AC58" s="2"/>
      <c r="AD58" s="2"/>
    </row>
    <row r="59" spans="1:30" x14ac:dyDescent="0.25">
      <c r="A59" s="2" t="s">
        <v>1359</v>
      </c>
      <c r="B59" s="14">
        <v>5271</v>
      </c>
      <c r="C59" s="2">
        <v>2905</v>
      </c>
      <c r="D59" s="2" t="s">
        <v>2132</v>
      </c>
      <c r="E59" s="2" t="s">
        <v>82</v>
      </c>
      <c r="F59" s="109" t="s">
        <v>1357</v>
      </c>
      <c r="G59" s="114" t="s">
        <v>2015</v>
      </c>
      <c r="H59" s="117"/>
      <c r="I59" t="s">
        <v>1270</v>
      </c>
      <c r="J59" s="27"/>
      <c r="K59" s="2"/>
      <c r="L59" s="2"/>
      <c r="M59" s="2" t="s">
        <v>225</v>
      </c>
      <c r="N59" s="2" t="s">
        <v>9</v>
      </c>
      <c r="O59" s="2" t="s">
        <v>15</v>
      </c>
      <c r="P59" s="2" t="s">
        <v>10</v>
      </c>
      <c r="Q59" s="2" t="s">
        <v>564</v>
      </c>
      <c r="R59" s="73" t="s">
        <v>1430</v>
      </c>
      <c r="S59" s="2" t="s">
        <v>1704</v>
      </c>
      <c r="T59" s="2" t="s">
        <v>384</v>
      </c>
      <c r="U59" s="58" t="s">
        <v>362</v>
      </c>
      <c r="V59" s="2" t="s">
        <v>17</v>
      </c>
      <c r="W59" s="2"/>
      <c r="X59" s="2"/>
      <c r="Y59" s="2"/>
      <c r="Z59" s="2"/>
      <c r="AA59" s="2"/>
      <c r="AB59" s="2"/>
      <c r="AC59" s="2"/>
      <c r="AD59" s="2"/>
    </row>
    <row r="60" spans="1:30" x14ac:dyDescent="0.25">
      <c r="A60" s="2" t="s">
        <v>2016</v>
      </c>
      <c r="B60" s="14" t="s">
        <v>2138</v>
      </c>
      <c r="C60" s="2">
        <v>2905</v>
      </c>
      <c r="D60" s="2" t="s">
        <v>2139</v>
      </c>
      <c r="E60" s="2" t="s">
        <v>82</v>
      </c>
      <c r="F60" s="109" t="s">
        <v>1357</v>
      </c>
      <c r="G60" s="114" t="s">
        <v>2015</v>
      </c>
      <c r="H60" s="117"/>
      <c r="I60" t="s">
        <v>1270</v>
      </c>
      <c r="J60" s="27"/>
      <c r="K60" s="2"/>
      <c r="L60" s="2"/>
      <c r="M60" s="2" t="s">
        <v>225</v>
      </c>
      <c r="N60" s="2" t="s">
        <v>9</v>
      </c>
      <c r="O60" s="2" t="s">
        <v>15</v>
      </c>
      <c r="P60" s="2" t="s">
        <v>10</v>
      </c>
      <c r="Q60" s="2" t="s">
        <v>564</v>
      </c>
      <c r="R60" s="73" t="s">
        <v>1430</v>
      </c>
      <c r="S60" s="2" t="s">
        <v>1704</v>
      </c>
      <c r="T60" s="2" t="s">
        <v>384</v>
      </c>
      <c r="U60" s="58" t="s">
        <v>362</v>
      </c>
      <c r="V60" s="2" t="s">
        <v>17</v>
      </c>
      <c r="W60" s="2"/>
      <c r="X60" s="2"/>
      <c r="Y60" s="2"/>
      <c r="Z60" s="2"/>
      <c r="AA60" s="2"/>
      <c r="AB60" s="2"/>
      <c r="AC60" s="2"/>
      <c r="AD60" s="2"/>
    </row>
    <row r="61" spans="1:30" x14ac:dyDescent="0.25">
      <c r="A61" s="2" t="s">
        <v>2017</v>
      </c>
      <c r="B61" s="14">
        <v>5268</v>
      </c>
      <c r="C61" s="2">
        <v>2905</v>
      </c>
      <c r="D61" s="2" t="s">
        <v>2144</v>
      </c>
      <c r="E61" s="2" t="s">
        <v>82</v>
      </c>
      <c r="F61" s="109" t="s">
        <v>1357</v>
      </c>
      <c r="G61" s="114" t="s">
        <v>2015</v>
      </c>
      <c r="H61" s="117"/>
      <c r="I61" t="s">
        <v>1270</v>
      </c>
      <c r="J61" s="27"/>
      <c r="K61" s="2"/>
      <c r="L61" s="2"/>
      <c r="M61" s="2" t="s">
        <v>225</v>
      </c>
      <c r="N61" s="2" t="s">
        <v>9</v>
      </c>
      <c r="O61" s="2" t="s">
        <v>15</v>
      </c>
      <c r="P61" s="2" t="s">
        <v>10</v>
      </c>
      <c r="Q61" s="2" t="s">
        <v>564</v>
      </c>
      <c r="R61" s="73" t="s">
        <v>1430</v>
      </c>
      <c r="S61" s="2" t="s">
        <v>1704</v>
      </c>
      <c r="T61" s="2" t="s">
        <v>384</v>
      </c>
      <c r="U61" s="58" t="s">
        <v>362</v>
      </c>
      <c r="V61" s="2" t="s">
        <v>17</v>
      </c>
      <c r="W61" s="2"/>
      <c r="X61" s="2"/>
      <c r="Y61" s="2"/>
      <c r="Z61" s="2"/>
      <c r="AA61" s="2"/>
      <c r="AB61" s="2"/>
      <c r="AC61" s="2"/>
      <c r="AD61" s="2"/>
    </row>
    <row r="62" spans="1:30" x14ac:dyDescent="0.25">
      <c r="A62" s="2" t="s">
        <v>2018</v>
      </c>
      <c r="B62" s="14">
        <v>5292</v>
      </c>
      <c r="C62" s="2">
        <v>2905</v>
      </c>
      <c r="D62" s="2" t="s">
        <v>2153</v>
      </c>
      <c r="E62" s="2" t="s">
        <v>82</v>
      </c>
      <c r="F62" s="109" t="s">
        <v>1357</v>
      </c>
      <c r="G62" s="114" t="s">
        <v>2015</v>
      </c>
      <c r="H62" s="117"/>
      <c r="I62" t="s">
        <v>1270</v>
      </c>
      <c r="J62" s="27"/>
      <c r="K62" s="2"/>
      <c r="L62" s="2"/>
      <c r="M62" s="2" t="s">
        <v>225</v>
      </c>
      <c r="N62" s="2" t="s">
        <v>9</v>
      </c>
      <c r="O62" s="2" t="s">
        <v>15</v>
      </c>
      <c r="P62" s="2" t="s">
        <v>10</v>
      </c>
      <c r="Q62" s="2" t="s">
        <v>564</v>
      </c>
      <c r="R62" s="73" t="s">
        <v>1430</v>
      </c>
      <c r="S62" s="2" t="s">
        <v>1704</v>
      </c>
      <c r="T62" s="2" t="s">
        <v>384</v>
      </c>
      <c r="U62" s="58" t="s">
        <v>362</v>
      </c>
      <c r="V62" s="2" t="s">
        <v>17</v>
      </c>
      <c r="W62" s="2"/>
      <c r="X62" s="2"/>
      <c r="Y62" s="2"/>
      <c r="Z62" s="2"/>
      <c r="AA62" s="2"/>
      <c r="AB62" s="2"/>
      <c r="AC62" s="2"/>
      <c r="AD62" s="2"/>
    </row>
    <row r="63" spans="1:30" x14ac:dyDescent="0.25">
      <c r="A63" s="2" t="s">
        <v>2019</v>
      </c>
      <c r="B63" s="14">
        <v>5294</v>
      </c>
      <c r="C63" s="2">
        <v>2905</v>
      </c>
      <c r="D63" s="2" t="s">
        <v>2158</v>
      </c>
      <c r="E63" s="2" t="s">
        <v>82</v>
      </c>
      <c r="F63" s="109" t="s">
        <v>1357</v>
      </c>
      <c r="G63" s="114" t="s">
        <v>2015</v>
      </c>
      <c r="H63" s="117"/>
      <c r="I63" t="s">
        <v>1270</v>
      </c>
      <c r="J63" s="27"/>
      <c r="K63" s="2"/>
      <c r="L63" s="2"/>
      <c r="M63" s="2" t="s">
        <v>225</v>
      </c>
      <c r="N63" s="2" t="s">
        <v>9</v>
      </c>
      <c r="O63" s="2" t="s">
        <v>15</v>
      </c>
      <c r="P63" s="2" t="s">
        <v>10</v>
      </c>
      <c r="Q63" s="2" t="s">
        <v>564</v>
      </c>
      <c r="R63" s="73" t="s">
        <v>1430</v>
      </c>
      <c r="S63" s="2" t="s">
        <v>1704</v>
      </c>
      <c r="T63" s="2" t="s">
        <v>384</v>
      </c>
      <c r="U63" s="58" t="s">
        <v>362</v>
      </c>
      <c r="V63" s="2" t="s">
        <v>17</v>
      </c>
      <c r="W63" s="2"/>
      <c r="X63" s="2"/>
      <c r="Y63" s="2"/>
      <c r="Z63" s="2"/>
      <c r="AA63" s="2"/>
      <c r="AB63" s="2"/>
      <c r="AC63" s="2"/>
      <c r="AD63" s="2"/>
    </row>
    <row r="64" spans="1:30" x14ac:dyDescent="0.25">
      <c r="A64" s="2" t="s">
        <v>2020</v>
      </c>
      <c r="B64" s="14">
        <v>5293</v>
      </c>
      <c r="C64" s="2">
        <v>2905</v>
      </c>
      <c r="D64" s="2" t="s">
        <v>2163</v>
      </c>
      <c r="E64" s="2" t="s">
        <v>82</v>
      </c>
      <c r="F64" s="109" t="s">
        <v>1357</v>
      </c>
      <c r="G64" s="114" t="s">
        <v>2015</v>
      </c>
      <c r="H64" s="117"/>
      <c r="I64" t="s">
        <v>1270</v>
      </c>
      <c r="J64" s="27"/>
      <c r="K64" s="2"/>
      <c r="L64" s="2"/>
      <c r="M64" s="2" t="s">
        <v>225</v>
      </c>
      <c r="N64" s="2" t="s">
        <v>9</v>
      </c>
      <c r="O64" s="2" t="s">
        <v>15</v>
      </c>
      <c r="P64" s="2" t="s">
        <v>10</v>
      </c>
      <c r="Q64" s="2" t="s">
        <v>564</v>
      </c>
      <c r="R64" s="73" t="s">
        <v>1430</v>
      </c>
      <c r="S64" s="2" t="s">
        <v>1958</v>
      </c>
      <c r="T64" s="2" t="s">
        <v>384</v>
      </c>
      <c r="U64" s="58" t="s">
        <v>362</v>
      </c>
      <c r="V64" s="2" t="s">
        <v>17</v>
      </c>
      <c r="W64" s="2"/>
      <c r="X64" s="2"/>
      <c r="Y64" s="2"/>
      <c r="Z64" s="2"/>
      <c r="AA64" s="2"/>
      <c r="AB64" s="2"/>
      <c r="AC64" s="2"/>
      <c r="AD64" s="2"/>
    </row>
    <row r="65" spans="1:30" x14ac:dyDescent="0.25">
      <c r="A65" s="2" t="s">
        <v>2021</v>
      </c>
      <c r="B65" s="14">
        <v>5291</v>
      </c>
      <c r="C65" s="2">
        <v>2905</v>
      </c>
      <c r="D65" s="2" t="s">
        <v>2164</v>
      </c>
      <c r="E65" s="2" t="s">
        <v>82</v>
      </c>
      <c r="F65" s="109" t="s">
        <v>1357</v>
      </c>
      <c r="G65" s="114" t="s">
        <v>2015</v>
      </c>
      <c r="H65" s="117"/>
      <c r="I65" t="s">
        <v>1270</v>
      </c>
      <c r="J65" s="27"/>
      <c r="K65" s="2"/>
      <c r="L65" s="2"/>
      <c r="M65" s="2" t="s">
        <v>225</v>
      </c>
      <c r="N65" s="2" t="s">
        <v>9</v>
      </c>
      <c r="O65" s="2" t="s">
        <v>15</v>
      </c>
      <c r="P65" s="2" t="s">
        <v>10</v>
      </c>
      <c r="Q65" s="2" t="s">
        <v>564</v>
      </c>
      <c r="R65" s="73" t="s">
        <v>1430</v>
      </c>
      <c r="S65" s="2" t="s">
        <v>1958</v>
      </c>
      <c r="T65" s="2" t="s">
        <v>384</v>
      </c>
      <c r="U65" s="58" t="s">
        <v>362</v>
      </c>
      <c r="V65" s="2" t="s">
        <v>17</v>
      </c>
      <c r="W65" s="2"/>
      <c r="X65" s="2"/>
      <c r="Y65" s="2"/>
      <c r="Z65" s="2"/>
      <c r="AA65" s="2"/>
      <c r="AB65" s="2"/>
      <c r="AC65" s="2"/>
      <c r="AD65" s="2"/>
    </row>
    <row r="66" spans="1:30" x14ac:dyDescent="0.25">
      <c r="A66" s="2" t="s">
        <v>2022</v>
      </c>
      <c r="B66" s="14" t="s">
        <v>2180</v>
      </c>
      <c r="C66" s="2">
        <v>2905</v>
      </c>
      <c r="D66" s="2" t="s">
        <v>2179</v>
      </c>
      <c r="E66" s="2" t="s">
        <v>82</v>
      </c>
      <c r="F66" s="109" t="s">
        <v>1357</v>
      </c>
      <c r="G66" s="114" t="s">
        <v>2015</v>
      </c>
      <c r="H66" s="117"/>
      <c r="I66"/>
      <c r="J66" s="27"/>
      <c r="K66" s="2"/>
      <c r="L66" s="2"/>
      <c r="M66" s="2" t="s">
        <v>225</v>
      </c>
      <c r="N66" s="2" t="s">
        <v>9</v>
      </c>
      <c r="O66" s="2" t="s">
        <v>15</v>
      </c>
      <c r="P66" s="2" t="s">
        <v>10</v>
      </c>
      <c r="Q66" s="2" t="s">
        <v>564</v>
      </c>
      <c r="R66" s="73" t="s">
        <v>1430</v>
      </c>
      <c r="S66" s="2" t="s">
        <v>1958</v>
      </c>
      <c r="T66" s="2" t="s">
        <v>384</v>
      </c>
      <c r="U66" s="58" t="s">
        <v>362</v>
      </c>
      <c r="V66" s="2" t="s">
        <v>17</v>
      </c>
      <c r="W66" s="2"/>
      <c r="X66" s="2"/>
      <c r="Y66" s="2"/>
      <c r="Z66" s="2"/>
      <c r="AA66" s="2"/>
      <c r="AB66" s="2"/>
      <c r="AC66" s="2"/>
      <c r="AD66" s="2"/>
    </row>
  </sheetData>
  <dataValidations count="1">
    <dataValidation type="list" allowBlank="1" showInputMessage="1" showErrorMessage="1" sqref="E2:E66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9"/>
  <sheetViews>
    <sheetView topLeftCell="A46" zoomScale="85" zoomScaleNormal="85" workbookViewId="0">
      <selection activeCell="G69" sqref="G69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3.5703125" style="1" bestFit="1" customWidth="1" collapsed="1"/>
    <col min="4" max="4" width="12.7109375" style="1" bestFit="1" customWidth="1" collapsed="1"/>
    <col min="5" max="16384" width="9.140625" style="1" collapsed="1"/>
  </cols>
  <sheetData>
    <row r="1" spans="1:7" x14ac:dyDescent="0.25">
      <c r="A1" s="4" t="s">
        <v>0</v>
      </c>
      <c r="B1" s="5" t="s">
        <v>18</v>
      </c>
      <c r="C1" s="5" t="s">
        <v>19</v>
      </c>
      <c r="D1" s="5" t="s">
        <v>211</v>
      </c>
      <c r="E1" s="5" t="s">
        <v>20</v>
      </c>
      <c r="F1" s="3"/>
      <c r="G1" s="3"/>
    </row>
    <row r="2" spans="1:7" x14ac:dyDescent="0.25">
      <c r="A2" s="2" t="s">
        <v>1</v>
      </c>
      <c r="B2" s="6">
        <v>1</v>
      </c>
      <c r="C2" s="2"/>
      <c r="D2" s="2"/>
      <c r="E2" s="2"/>
    </row>
    <row r="3" spans="1:7" x14ac:dyDescent="0.25">
      <c r="A3" s="2" t="s">
        <v>2</v>
      </c>
      <c r="B3" s="6">
        <v>1</v>
      </c>
      <c r="C3" s="2"/>
      <c r="D3" s="2"/>
      <c r="E3" s="2"/>
    </row>
    <row r="4" spans="1:7" x14ac:dyDescent="0.25">
      <c r="A4" s="2" t="s">
        <v>16</v>
      </c>
      <c r="B4" s="6">
        <v>1</v>
      </c>
      <c r="C4" s="2"/>
      <c r="D4" s="2"/>
      <c r="E4" s="2"/>
    </row>
    <row r="5" spans="1:7" x14ac:dyDescent="0.25">
      <c r="A5" s="2" t="s">
        <v>114</v>
      </c>
      <c r="B5" s="2">
        <v>1</v>
      </c>
      <c r="C5" s="2"/>
      <c r="D5" s="2"/>
      <c r="E5" s="2"/>
    </row>
    <row r="6" spans="1:7" x14ac:dyDescent="0.25">
      <c r="A6" s="2" t="s">
        <v>132</v>
      </c>
      <c r="B6" s="2">
        <v>1</v>
      </c>
      <c r="C6" s="2"/>
      <c r="D6" s="2"/>
      <c r="E6" s="2"/>
    </row>
    <row r="7" spans="1:7" x14ac:dyDescent="0.25">
      <c r="A7" s="2" t="s">
        <v>123</v>
      </c>
      <c r="B7" s="2">
        <v>1</v>
      </c>
      <c r="C7" s="2"/>
      <c r="D7" s="2"/>
      <c r="E7" s="2"/>
    </row>
    <row r="8" spans="1:7" x14ac:dyDescent="0.25">
      <c r="A8" s="2" t="s">
        <v>134</v>
      </c>
      <c r="B8" s="2">
        <v>1</v>
      </c>
      <c r="C8" s="2"/>
      <c r="D8" s="2"/>
      <c r="E8" s="2"/>
    </row>
    <row r="9" spans="1:7" x14ac:dyDescent="0.25">
      <c r="A9" s="2" t="s">
        <v>135</v>
      </c>
      <c r="B9" s="2">
        <v>1</v>
      </c>
      <c r="C9" s="2"/>
      <c r="D9" s="2"/>
      <c r="E9" s="2"/>
    </row>
    <row r="10" spans="1:7" x14ac:dyDescent="0.25">
      <c r="A10" s="2" t="s">
        <v>136</v>
      </c>
      <c r="B10" s="2">
        <v>1</v>
      </c>
      <c r="C10" s="2"/>
      <c r="D10" s="2"/>
      <c r="E10" s="2"/>
    </row>
    <row r="11" spans="1:7" x14ac:dyDescent="0.25">
      <c r="A11" s="2" t="s">
        <v>157</v>
      </c>
      <c r="B11" s="2">
        <v>1</v>
      </c>
      <c r="C11" s="2"/>
      <c r="D11" s="2"/>
      <c r="E11" s="2"/>
    </row>
    <row r="12" spans="1:7" x14ac:dyDescent="0.25">
      <c r="A12" s="2" t="s">
        <v>172</v>
      </c>
      <c r="B12" s="2">
        <v>1</v>
      </c>
      <c r="C12" s="2"/>
      <c r="D12" s="2"/>
      <c r="E12" s="2"/>
    </row>
    <row r="13" spans="1:7" x14ac:dyDescent="0.25">
      <c r="A13" s="2" t="s">
        <v>243</v>
      </c>
      <c r="B13" s="2">
        <v>1</v>
      </c>
      <c r="C13" s="2"/>
      <c r="D13" s="2"/>
      <c r="E13" s="2"/>
    </row>
    <row r="14" spans="1:7" x14ac:dyDescent="0.25">
      <c r="A14" s="2" t="s">
        <v>244</v>
      </c>
      <c r="B14" s="2">
        <v>1</v>
      </c>
      <c r="C14" s="2"/>
      <c r="D14" s="2"/>
      <c r="E14" s="2"/>
    </row>
    <row r="15" spans="1:7" x14ac:dyDescent="0.25">
      <c r="A15" s="2" t="s">
        <v>181</v>
      </c>
      <c r="B15" s="2">
        <v>1</v>
      </c>
      <c r="C15" s="2"/>
      <c r="D15" s="2"/>
      <c r="E15" s="2"/>
    </row>
    <row r="16" spans="1:7" x14ac:dyDescent="0.25">
      <c r="A16" s="2" t="s">
        <v>248</v>
      </c>
      <c r="B16" s="2">
        <v>1</v>
      </c>
      <c r="C16" s="2"/>
      <c r="D16" s="2"/>
      <c r="E16" s="2"/>
    </row>
    <row r="17" spans="1:5" x14ac:dyDescent="0.25">
      <c r="A17" s="2" t="s">
        <v>249</v>
      </c>
      <c r="B17" s="2">
        <v>1</v>
      </c>
      <c r="C17" s="2"/>
      <c r="D17" s="2"/>
      <c r="E17" s="2"/>
    </row>
    <row r="18" spans="1:5" x14ac:dyDescent="0.25">
      <c r="A18" s="2" t="s">
        <v>256</v>
      </c>
      <c r="B18" s="2">
        <v>1</v>
      </c>
      <c r="C18" s="2"/>
      <c r="D18" s="2"/>
      <c r="E18" s="2"/>
    </row>
    <row r="19" spans="1:5" x14ac:dyDescent="0.25">
      <c r="A19" s="2" t="s">
        <v>547</v>
      </c>
      <c r="B19" s="2">
        <v>1</v>
      </c>
      <c r="C19" s="2"/>
      <c r="D19" s="2"/>
      <c r="E19" s="2"/>
    </row>
    <row r="20" spans="1:5" x14ac:dyDescent="0.25">
      <c r="A20" s="2" t="s">
        <v>185</v>
      </c>
      <c r="B20" s="2">
        <v>1</v>
      </c>
      <c r="C20" s="2"/>
      <c r="D20" s="2"/>
      <c r="E20" s="2"/>
    </row>
    <row r="21" spans="1:5" x14ac:dyDescent="0.25">
      <c r="A21" s="2" t="s">
        <v>187</v>
      </c>
      <c r="B21" s="2">
        <v>1</v>
      </c>
      <c r="C21" s="2"/>
      <c r="D21" s="2"/>
      <c r="E21" s="2"/>
    </row>
    <row r="22" spans="1:5" x14ac:dyDescent="0.25">
      <c r="A22" s="2" t="s">
        <v>188</v>
      </c>
      <c r="B22" s="2">
        <v>1</v>
      </c>
      <c r="C22" s="2"/>
      <c r="D22" s="2"/>
      <c r="E22" s="2"/>
    </row>
    <row r="23" spans="1:5" x14ac:dyDescent="0.25">
      <c r="A23" s="2" t="s">
        <v>189</v>
      </c>
      <c r="B23" s="2">
        <v>1</v>
      </c>
      <c r="C23" s="2"/>
      <c r="D23" s="2"/>
      <c r="E23" s="2"/>
    </row>
    <row r="24" spans="1:5" x14ac:dyDescent="0.25">
      <c r="A24" s="2" t="s">
        <v>190</v>
      </c>
      <c r="B24" s="2">
        <v>1</v>
      </c>
      <c r="C24" s="2"/>
      <c r="D24" s="2"/>
      <c r="E24" s="2"/>
    </row>
    <row r="25" spans="1:5" x14ac:dyDescent="0.25">
      <c r="A25" s="2" t="s">
        <v>191</v>
      </c>
      <c r="B25" s="2">
        <v>1</v>
      </c>
      <c r="C25" s="2"/>
      <c r="D25" s="2"/>
      <c r="E25" s="2"/>
    </row>
    <row r="26" spans="1:5" x14ac:dyDescent="0.25">
      <c r="A26" s="2" t="s">
        <v>772</v>
      </c>
      <c r="B26" s="2">
        <v>1</v>
      </c>
      <c r="C26" s="2"/>
      <c r="D26" s="2"/>
      <c r="E26" s="2"/>
    </row>
    <row r="27" spans="1:5" x14ac:dyDescent="0.25">
      <c r="A27" s="2" t="s">
        <v>773</v>
      </c>
      <c r="B27" s="2">
        <v>1</v>
      </c>
      <c r="C27" s="2"/>
      <c r="D27" s="2"/>
      <c r="E27" s="2"/>
    </row>
    <row r="28" spans="1:5" x14ac:dyDescent="0.25">
      <c r="A28" s="2" t="s">
        <v>192</v>
      </c>
      <c r="B28" s="2">
        <v>1</v>
      </c>
      <c r="C28" s="2"/>
      <c r="D28" s="2"/>
      <c r="E28" s="2"/>
    </row>
    <row r="29" spans="1:5" x14ac:dyDescent="0.25">
      <c r="A29" s="2" t="s">
        <v>911</v>
      </c>
      <c r="B29" s="2">
        <v>1</v>
      </c>
      <c r="C29" s="2"/>
      <c r="D29" s="2"/>
      <c r="E29" s="2"/>
    </row>
    <row r="30" spans="1:5" x14ac:dyDescent="0.25">
      <c r="A30" s="2" t="s">
        <v>912</v>
      </c>
      <c r="B30" s="2">
        <v>1</v>
      </c>
      <c r="C30" s="2"/>
      <c r="D30" s="2"/>
      <c r="E30" s="2"/>
    </row>
    <row r="31" spans="1:5" x14ac:dyDescent="0.25">
      <c r="A31" s="2" t="s">
        <v>913</v>
      </c>
      <c r="B31" s="2">
        <v>1</v>
      </c>
      <c r="C31" s="2"/>
      <c r="D31" s="2"/>
      <c r="E31" s="2"/>
    </row>
    <row r="32" spans="1:5" x14ac:dyDescent="0.25">
      <c r="A32" s="2" t="s">
        <v>914</v>
      </c>
      <c r="B32" s="2">
        <v>1</v>
      </c>
      <c r="C32" s="2"/>
      <c r="D32" s="2"/>
      <c r="E32" s="2"/>
    </row>
    <row r="33" spans="1:5" x14ac:dyDescent="0.25">
      <c r="A33" s="2" t="s">
        <v>872</v>
      </c>
      <c r="B33" s="2">
        <v>1</v>
      </c>
      <c r="C33" s="2"/>
      <c r="D33" s="2"/>
      <c r="E33" s="2"/>
    </row>
    <row r="34" spans="1:5" x14ac:dyDescent="0.25">
      <c r="A34" s="2" t="s">
        <v>869</v>
      </c>
      <c r="B34" s="2">
        <v>1</v>
      </c>
      <c r="C34" s="2"/>
      <c r="D34" s="2"/>
      <c r="E34" s="2"/>
    </row>
    <row r="35" spans="1:5" x14ac:dyDescent="0.25">
      <c r="A35" s="2" t="s">
        <v>918</v>
      </c>
      <c r="B35" s="2">
        <v>1</v>
      </c>
      <c r="C35" s="2"/>
      <c r="D35" s="2"/>
      <c r="E35" s="2"/>
    </row>
    <row r="36" spans="1:5" x14ac:dyDescent="0.25">
      <c r="A36" s="2" t="s">
        <v>919</v>
      </c>
      <c r="B36" s="2">
        <v>1</v>
      </c>
      <c r="C36" s="2"/>
      <c r="D36" s="2"/>
      <c r="E36" s="2"/>
    </row>
    <row r="37" spans="1:5" x14ac:dyDescent="0.25">
      <c r="A37" s="2" t="s">
        <v>920</v>
      </c>
      <c r="B37" s="2">
        <v>1</v>
      </c>
      <c r="C37" s="2"/>
      <c r="D37" s="2"/>
      <c r="E37" s="2"/>
    </row>
    <row r="38" spans="1:5" x14ac:dyDescent="0.25">
      <c r="A38" s="2" t="s">
        <v>921</v>
      </c>
      <c r="B38" s="2">
        <v>1</v>
      </c>
      <c r="C38" s="2"/>
      <c r="D38" s="2"/>
      <c r="E38" s="2"/>
    </row>
    <row r="39" spans="1:5" x14ac:dyDescent="0.25">
      <c r="A39" s="2" t="s">
        <v>922</v>
      </c>
      <c r="B39" s="2">
        <v>1</v>
      </c>
      <c r="C39" s="2"/>
      <c r="D39" s="2"/>
      <c r="E39" s="2"/>
    </row>
    <row r="40" spans="1:5" x14ac:dyDescent="0.25">
      <c r="A40" s="2" t="s">
        <v>1121</v>
      </c>
      <c r="B40" s="2">
        <v>1</v>
      </c>
      <c r="C40" s="2"/>
      <c r="D40" s="2"/>
      <c r="E40" s="2"/>
    </row>
    <row r="41" spans="1:5" x14ac:dyDescent="0.25">
      <c r="A41" s="2" t="s">
        <v>1122</v>
      </c>
      <c r="B41" s="2">
        <v>1</v>
      </c>
      <c r="C41" s="2"/>
      <c r="D41" s="2"/>
      <c r="E41" s="2"/>
    </row>
    <row r="42" spans="1:5" x14ac:dyDescent="0.25">
      <c r="A42" s="2" t="s">
        <v>1123</v>
      </c>
      <c r="B42" s="2">
        <v>1</v>
      </c>
      <c r="C42" s="2"/>
      <c r="D42" s="2"/>
      <c r="E42" s="2"/>
    </row>
    <row r="43" spans="1:5" x14ac:dyDescent="0.25">
      <c r="A43" s="2" t="s">
        <v>1157</v>
      </c>
      <c r="B43" s="2">
        <v>1</v>
      </c>
      <c r="C43" s="2"/>
      <c r="D43" s="2"/>
      <c r="E43" s="2"/>
    </row>
    <row r="44" spans="1:5" x14ac:dyDescent="0.25">
      <c r="A44" s="2" t="s">
        <v>1163</v>
      </c>
      <c r="B44" s="2">
        <v>1</v>
      </c>
      <c r="C44" s="2"/>
      <c r="D44" s="2"/>
      <c r="E44" s="2"/>
    </row>
    <row r="45" spans="1:5" x14ac:dyDescent="0.25">
      <c r="A45" s="2" t="s">
        <v>1164</v>
      </c>
      <c r="B45" s="2">
        <v>1</v>
      </c>
      <c r="C45" s="2"/>
      <c r="D45" s="2"/>
      <c r="E45" s="2"/>
    </row>
    <row r="46" spans="1:5" x14ac:dyDescent="0.25">
      <c r="A46" s="2" t="s">
        <v>1165</v>
      </c>
      <c r="B46" s="2">
        <v>1</v>
      </c>
      <c r="C46" s="2"/>
      <c r="D46" s="2"/>
      <c r="E46" s="2"/>
    </row>
    <row r="47" spans="1:5" x14ac:dyDescent="0.25">
      <c r="A47" s="2" t="s">
        <v>1166</v>
      </c>
      <c r="B47" s="2">
        <v>1</v>
      </c>
      <c r="C47" s="2"/>
      <c r="D47" s="2"/>
      <c r="E47" s="2"/>
    </row>
    <row r="48" spans="1:5" x14ac:dyDescent="0.25">
      <c r="A48" s="2" t="s">
        <v>1167</v>
      </c>
      <c r="B48" s="2">
        <v>1</v>
      </c>
      <c r="C48" s="2"/>
      <c r="D48" s="2"/>
      <c r="E48" s="2"/>
    </row>
    <row r="49" spans="1:5" x14ac:dyDescent="0.25">
      <c r="A49" s="2" t="s">
        <v>1168</v>
      </c>
      <c r="B49" s="2">
        <v>1</v>
      </c>
      <c r="C49" s="2"/>
      <c r="D49" s="2"/>
      <c r="E49" s="2"/>
    </row>
    <row r="50" spans="1:5" x14ac:dyDescent="0.25">
      <c r="A50" s="2" t="s">
        <v>1169</v>
      </c>
      <c r="B50" s="2">
        <v>1</v>
      </c>
      <c r="C50" s="2"/>
      <c r="D50" s="2"/>
      <c r="E50" s="2"/>
    </row>
    <row r="51" spans="1:5" x14ac:dyDescent="0.25">
      <c r="A51" s="2" t="s">
        <v>1170</v>
      </c>
      <c r="B51" s="2">
        <v>1</v>
      </c>
      <c r="C51" s="2"/>
      <c r="D51" s="2"/>
      <c r="E51" s="2"/>
    </row>
    <row r="52" spans="1:5" x14ac:dyDescent="0.25">
      <c r="A52" s="2" t="s">
        <v>1171</v>
      </c>
      <c r="B52" s="2">
        <v>1</v>
      </c>
      <c r="C52" s="2"/>
      <c r="D52" s="2"/>
      <c r="E52" s="2"/>
    </row>
    <row r="53" spans="1:5" x14ac:dyDescent="0.25">
      <c r="A53" s="2" t="s">
        <v>1172</v>
      </c>
      <c r="B53" s="2">
        <v>1</v>
      </c>
      <c r="C53" s="2"/>
      <c r="D53" s="2"/>
      <c r="E53" s="2"/>
    </row>
    <row r="54" spans="1:5" x14ac:dyDescent="0.25">
      <c r="A54" s="2" t="s">
        <v>1173</v>
      </c>
      <c r="B54" s="2">
        <v>1</v>
      </c>
      <c r="C54" s="2"/>
      <c r="D54" s="2"/>
      <c r="E54" s="2"/>
    </row>
    <row r="55" spans="1:5" x14ac:dyDescent="0.25">
      <c r="A55" s="2" t="s">
        <v>1227</v>
      </c>
      <c r="B55" s="2">
        <v>1</v>
      </c>
      <c r="C55" s="2"/>
      <c r="D55" s="2"/>
      <c r="E55" s="2"/>
    </row>
    <row r="56" spans="1:5" x14ac:dyDescent="0.25">
      <c r="A56" s="2" t="s">
        <v>1228</v>
      </c>
      <c r="B56" s="2">
        <v>1</v>
      </c>
      <c r="C56" s="2"/>
      <c r="D56" s="2"/>
      <c r="E56" s="2"/>
    </row>
    <row r="57" spans="1:5" x14ac:dyDescent="0.25">
      <c r="A57" s="2" t="s">
        <v>1229</v>
      </c>
      <c r="B57" s="2">
        <v>1</v>
      </c>
      <c r="C57" s="2"/>
      <c r="D57" s="2"/>
      <c r="E57" s="2"/>
    </row>
    <row r="58" spans="1:5" x14ac:dyDescent="0.25">
      <c r="A58" s="2" t="s">
        <v>1230</v>
      </c>
      <c r="B58" s="2">
        <v>1</v>
      </c>
      <c r="C58" s="2"/>
      <c r="D58" s="2"/>
      <c r="E58" s="2"/>
    </row>
    <row r="59" spans="1:5" x14ac:dyDescent="0.25">
      <c r="A59" s="2" t="s">
        <v>1231</v>
      </c>
      <c r="B59" s="2">
        <v>1</v>
      </c>
      <c r="C59" s="2"/>
      <c r="D59" s="2"/>
      <c r="E59" s="2"/>
    </row>
    <row r="60" spans="1:5" x14ac:dyDescent="0.25">
      <c r="A60" s="2" t="s">
        <v>1359</v>
      </c>
      <c r="B60" s="2">
        <v>1</v>
      </c>
      <c r="C60" s="2"/>
      <c r="D60" s="2"/>
      <c r="E60" s="2"/>
    </row>
    <row r="61" spans="1:5" x14ac:dyDescent="0.25">
      <c r="A61" s="2" t="s">
        <v>2016</v>
      </c>
      <c r="B61" s="2">
        <v>1</v>
      </c>
      <c r="C61" s="2"/>
      <c r="D61" s="2"/>
      <c r="E61" s="2"/>
    </row>
    <row r="62" spans="1:5" x14ac:dyDescent="0.25">
      <c r="A62" s="2" t="s">
        <v>2017</v>
      </c>
      <c r="B62" s="2">
        <v>1</v>
      </c>
      <c r="C62" s="2"/>
      <c r="D62" s="2"/>
      <c r="E62" s="2"/>
    </row>
    <row r="63" spans="1:5" x14ac:dyDescent="0.25">
      <c r="A63" s="2" t="s">
        <v>2018</v>
      </c>
      <c r="B63" s="2">
        <v>1</v>
      </c>
      <c r="C63" s="2"/>
      <c r="D63" s="2"/>
      <c r="E63" s="2"/>
    </row>
    <row r="64" spans="1:5" x14ac:dyDescent="0.25">
      <c r="A64" s="2" t="s">
        <v>2019</v>
      </c>
      <c r="B64" s="2">
        <v>1</v>
      </c>
      <c r="C64" s="2"/>
      <c r="D64" s="2"/>
      <c r="E64" s="2"/>
    </row>
    <row r="65" spans="1:5" x14ac:dyDescent="0.25">
      <c r="A65" s="2" t="s">
        <v>2020</v>
      </c>
      <c r="B65" s="2">
        <v>1</v>
      </c>
      <c r="C65" s="2"/>
      <c r="D65" s="2"/>
      <c r="E65" s="2"/>
    </row>
    <row r="66" spans="1:5" x14ac:dyDescent="0.25">
      <c r="A66" s="2" t="s">
        <v>2021</v>
      </c>
      <c r="B66" s="2">
        <v>1</v>
      </c>
      <c r="C66" s="2"/>
      <c r="D66" s="2"/>
      <c r="E66" s="2"/>
    </row>
    <row r="67" spans="1:5" x14ac:dyDescent="0.25">
      <c r="A67" s="2" t="s">
        <v>2022</v>
      </c>
      <c r="B67" s="2">
        <v>1</v>
      </c>
      <c r="C67" s="2"/>
      <c r="D67" s="2"/>
      <c r="E67" s="2"/>
    </row>
    <row r="68" spans="1:5" x14ac:dyDescent="0.25">
      <c r="A68" s="2" t="s">
        <v>2023</v>
      </c>
      <c r="B68" s="2">
        <v>1</v>
      </c>
      <c r="C68" s="2"/>
      <c r="D68" s="2"/>
      <c r="E68" s="2"/>
    </row>
    <row r="69" spans="1:5" x14ac:dyDescent="0.25">
      <c r="A69" s="2" t="s">
        <v>2024</v>
      </c>
      <c r="B69" s="2">
        <v>1</v>
      </c>
      <c r="C69" s="2"/>
      <c r="D69" s="2"/>
      <c r="E6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4"/>
  <sheetViews>
    <sheetView topLeftCell="A54" zoomScale="85" zoomScaleNormal="85" workbookViewId="0">
      <selection activeCell="G74" sqref="G74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4.85546875" style="1" bestFit="1" customWidth="1" collapsed="1"/>
    <col min="4" max="4" width="10.28515625" style="1" bestFit="1" customWidth="1" collapsed="1"/>
    <col min="5" max="16384" width="9.140625" style="1" collapsed="1"/>
  </cols>
  <sheetData>
    <row r="1" spans="1:6" x14ac:dyDescent="0.25">
      <c r="A1" s="4" t="s">
        <v>0</v>
      </c>
      <c r="B1" s="5" t="s">
        <v>18</v>
      </c>
      <c r="C1" s="5" t="s">
        <v>27</v>
      </c>
      <c r="D1" s="5" t="s">
        <v>28</v>
      </c>
      <c r="E1" s="3"/>
      <c r="F1" s="3"/>
    </row>
    <row r="2" spans="1:6" x14ac:dyDescent="0.25">
      <c r="A2" s="2" t="s">
        <v>1</v>
      </c>
      <c r="B2" s="6">
        <v>1</v>
      </c>
      <c r="C2" s="2" t="s">
        <v>3</v>
      </c>
      <c r="D2" s="2" t="s">
        <v>3</v>
      </c>
    </row>
    <row r="3" spans="1:6" x14ac:dyDescent="0.25">
      <c r="A3" s="2" t="s">
        <v>2</v>
      </c>
      <c r="B3" s="6">
        <v>1</v>
      </c>
      <c r="C3" s="2" t="s">
        <v>3</v>
      </c>
      <c r="D3" s="2" t="s">
        <v>3</v>
      </c>
    </row>
    <row r="4" spans="1:6" x14ac:dyDescent="0.25">
      <c r="A4" s="2" t="s">
        <v>16</v>
      </c>
      <c r="B4" s="6">
        <v>1</v>
      </c>
      <c r="C4" s="2" t="s">
        <v>3</v>
      </c>
      <c r="D4" s="2" t="s">
        <v>3</v>
      </c>
    </row>
    <row r="5" spans="1:6" x14ac:dyDescent="0.25">
      <c r="A5" s="2" t="s">
        <v>313</v>
      </c>
      <c r="B5" s="6">
        <v>1</v>
      </c>
      <c r="C5" s="2" t="s">
        <v>3</v>
      </c>
      <c r="D5" s="2" t="s">
        <v>3</v>
      </c>
    </row>
    <row r="6" spans="1:6" x14ac:dyDescent="0.25">
      <c r="A6" s="2" t="s">
        <v>241</v>
      </c>
      <c r="B6" s="6">
        <v>1</v>
      </c>
      <c r="C6" s="2" t="s">
        <v>3</v>
      </c>
      <c r="D6" s="2" t="s">
        <v>3</v>
      </c>
    </row>
    <row r="7" spans="1:6" x14ac:dyDescent="0.25">
      <c r="A7" s="2" t="s">
        <v>242</v>
      </c>
      <c r="B7" s="6">
        <v>1</v>
      </c>
      <c r="C7" s="2" t="s">
        <v>3</v>
      </c>
      <c r="D7" s="2" t="s">
        <v>3</v>
      </c>
    </row>
    <row r="8" spans="1:6" x14ac:dyDescent="0.25">
      <c r="A8" s="2" t="s">
        <v>114</v>
      </c>
      <c r="B8" s="6">
        <v>1</v>
      </c>
      <c r="C8" s="2" t="s">
        <v>3</v>
      </c>
      <c r="D8" s="2" t="s">
        <v>3</v>
      </c>
    </row>
    <row r="9" spans="1:6" x14ac:dyDescent="0.25">
      <c r="A9" s="2" t="s">
        <v>132</v>
      </c>
      <c r="B9" s="6">
        <v>1</v>
      </c>
      <c r="C9" s="2" t="s">
        <v>3</v>
      </c>
      <c r="D9" s="2" t="s">
        <v>3</v>
      </c>
    </row>
    <row r="10" spans="1:6" x14ac:dyDescent="0.25">
      <c r="A10" s="2" t="s">
        <v>123</v>
      </c>
      <c r="B10" s="6">
        <v>1</v>
      </c>
      <c r="C10" s="2" t="s">
        <v>3</v>
      </c>
      <c r="D10" s="2" t="s">
        <v>3</v>
      </c>
    </row>
    <row r="11" spans="1:6" x14ac:dyDescent="0.25">
      <c r="A11" s="21" t="s">
        <v>134</v>
      </c>
      <c r="B11" s="6">
        <v>1</v>
      </c>
      <c r="C11" s="2" t="s">
        <v>3</v>
      </c>
      <c r="D11" s="2" t="s">
        <v>3</v>
      </c>
    </row>
    <row r="12" spans="1:6" x14ac:dyDescent="0.25">
      <c r="A12" s="21" t="s">
        <v>135</v>
      </c>
      <c r="B12" s="6">
        <v>1</v>
      </c>
      <c r="C12" s="2" t="s">
        <v>3</v>
      </c>
      <c r="D12" s="2" t="s">
        <v>3</v>
      </c>
    </row>
    <row r="13" spans="1:6" x14ac:dyDescent="0.25">
      <c r="A13" s="2" t="s">
        <v>136</v>
      </c>
      <c r="B13" s="6">
        <v>1</v>
      </c>
      <c r="C13" s="2" t="s">
        <v>3</v>
      </c>
      <c r="D13" s="2" t="s">
        <v>3</v>
      </c>
    </row>
    <row r="14" spans="1:6" x14ac:dyDescent="0.25">
      <c r="A14" s="2" t="s">
        <v>157</v>
      </c>
      <c r="B14" s="6">
        <v>1</v>
      </c>
      <c r="C14" s="2" t="s">
        <v>3</v>
      </c>
      <c r="D14" s="2" t="s">
        <v>3</v>
      </c>
    </row>
    <row r="15" spans="1:6" x14ac:dyDescent="0.25">
      <c r="A15" s="2" t="s">
        <v>243</v>
      </c>
      <c r="B15" s="6">
        <v>1</v>
      </c>
      <c r="C15" s="2" t="s">
        <v>3</v>
      </c>
      <c r="D15" s="2" t="s">
        <v>3</v>
      </c>
    </row>
    <row r="16" spans="1:6" x14ac:dyDescent="0.25">
      <c r="A16" s="4" t="s">
        <v>244</v>
      </c>
      <c r="B16" s="6">
        <v>1</v>
      </c>
      <c r="C16" s="2" t="s">
        <v>3</v>
      </c>
      <c r="D16" s="2" t="s">
        <v>3</v>
      </c>
    </row>
    <row r="17" spans="1:4" x14ac:dyDescent="0.25">
      <c r="A17" s="2" t="s">
        <v>172</v>
      </c>
      <c r="B17" s="6">
        <v>1</v>
      </c>
      <c r="C17" s="2" t="s">
        <v>3</v>
      </c>
      <c r="D17" s="2" t="s">
        <v>3</v>
      </c>
    </row>
    <row r="18" spans="1:4" x14ac:dyDescent="0.25">
      <c r="A18" s="2" t="s">
        <v>192</v>
      </c>
      <c r="B18" s="6">
        <v>1</v>
      </c>
      <c r="C18" s="2" t="s">
        <v>3</v>
      </c>
      <c r="D18" s="2" t="s">
        <v>3</v>
      </c>
    </row>
    <row r="19" spans="1:4" x14ac:dyDescent="0.25">
      <c r="A19" s="2" t="s">
        <v>245</v>
      </c>
      <c r="B19" s="6">
        <v>1</v>
      </c>
      <c r="C19" s="2" t="s">
        <v>3</v>
      </c>
      <c r="D19" s="2" t="s">
        <v>3</v>
      </c>
    </row>
    <row r="20" spans="1:4" x14ac:dyDescent="0.25">
      <c r="A20" s="2" t="s">
        <v>246</v>
      </c>
      <c r="B20" s="6">
        <v>1</v>
      </c>
      <c r="C20" s="2" t="s">
        <v>3</v>
      </c>
      <c r="D20" s="2" t="s">
        <v>3</v>
      </c>
    </row>
    <row r="21" spans="1:4" x14ac:dyDescent="0.25">
      <c r="A21" s="2" t="s">
        <v>181</v>
      </c>
      <c r="B21" s="6">
        <v>1</v>
      </c>
      <c r="C21" s="2" t="s">
        <v>3</v>
      </c>
      <c r="D21" s="2" t="s">
        <v>3</v>
      </c>
    </row>
    <row r="22" spans="1:4" x14ac:dyDescent="0.25">
      <c r="A22" s="2" t="s">
        <v>248</v>
      </c>
      <c r="B22" s="6">
        <v>1</v>
      </c>
      <c r="C22" s="2" t="s">
        <v>3</v>
      </c>
      <c r="D22" s="2" t="s">
        <v>3</v>
      </c>
    </row>
    <row r="23" spans="1:4" x14ac:dyDescent="0.25">
      <c r="A23" s="2" t="s">
        <v>249</v>
      </c>
      <c r="B23" s="6">
        <v>1</v>
      </c>
      <c r="C23" s="2" t="s">
        <v>3</v>
      </c>
      <c r="D23" s="2" t="s">
        <v>3</v>
      </c>
    </row>
    <row r="24" spans="1:4" x14ac:dyDescent="0.25">
      <c r="A24" s="2" t="s">
        <v>256</v>
      </c>
      <c r="B24" s="6">
        <v>1</v>
      </c>
      <c r="C24" s="2" t="s">
        <v>3</v>
      </c>
      <c r="D24" s="2" t="s">
        <v>3</v>
      </c>
    </row>
    <row r="25" spans="1:4" x14ac:dyDescent="0.25">
      <c r="A25" s="2" t="s">
        <v>547</v>
      </c>
      <c r="B25" s="6">
        <v>1</v>
      </c>
      <c r="C25" s="2" t="s">
        <v>3</v>
      </c>
      <c r="D25" s="2" t="s">
        <v>3</v>
      </c>
    </row>
    <row r="26" spans="1:4" x14ac:dyDescent="0.25">
      <c r="A26" s="2" t="s">
        <v>185</v>
      </c>
      <c r="B26" s="6">
        <v>1</v>
      </c>
      <c r="C26" s="2" t="s">
        <v>3</v>
      </c>
      <c r="D26" s="2" t="s">
        <v>3</v>
      </c>
    </row>
    <row r="27" spans="1:4" x14ac:dyDescent="0.25">
      <c r="A27" s="2" t="s">
        <v>187</v>
      </c>
      <c r="B27" s="6">
        <v>1</v>
      </c>
      <c r="C27" s="2" t="s">
        <v>3</v>
      </c>
      <c r="D27" s="2" t="s">
        <v>3</v>
      </c>
    </row>
    <row r="28" spans="1:4" x14ac:dyDescent="0.25">
      <c r="A28" s="2" t="s">
        <v>188</v>
      </c>
      <c r="B28" s="6">
        <v>1</v>
      </c>
      <c r="C28" s="2" t="s">
        <v>3</v>
      </c>
      <c r="D28" s="2" t="s">
        <v>3</v>
      </c>
    </row>
    <row r="29" spans="1:4" x14ac:dyDescent="0.25">
      <c r="A29" s="2" t="s">
        <v>189</v>
      </c>
      <c r="B29" s="6">
        <v>1</v>
      </c>
      <c r="C29" s="2" t="s">
        <v>3</v>
      </c>
      <c r="D29" s="2" t="s">
        <v>3</v>
      </c>
    </row>
    <row r="30" spans="1:4" x14ac:dyDescent="0.25">
      <c r="A30" s="2" t="s">
        <v>190</v>
      </c>
      <c r="B30" s="6">
        <v>1</v>
      </c>
      <c r="C30" s="2" t="s">
        <v>3</v>
      </c>
      <c r="D30" s="2" t="s">
        <v>3</v>
      </c>
    </row>
    <row r="31" spans="1:4" x14ac:dyDescent="0.25">
      <c r="A31" s="2" t="s">
        <v>191</v>
      </c>
      <c r="B31" s="6">
        <v>1</v>
      </c>
      <c r="C31" s="2" t="s">
        <v>3</v>
      </c>
      <c r="D31" s="2" t="s">
        <v>3</v>
      </c>
    </row>
    <row r="32" spans="1:4" x14ac:dyDescent="0.25">
      <c r="A32" s="2" t="s">
        <v>772</v>
      </c>
      <c r="B32" s="6">
        <v>1</v>
      </c>
      <c r="C32" s="2" t="s">
        <v>3</v>
      </c>
      <c r="D32" s="2" t="s">
        <v>3</v>
      </c>
    </row>
    <row r="33" spans="1:4" x14ac:dyDescent="0.25">
      <c r="A33" s="2" t="s">
        <v>773</v>
      </c>
      <c r="B33" s="6">
        <v>1</v>
      </c>
      <c r="C33" s="2" t="s">
        <v>3</v>
      </c>
      <c r="D33" s="2" t="s">
        <v>3</v>
      </c>
    </row>
    <row r="34" spans="1:4" x14ac:dyDescent="0.25">
      <c r="A34" s="2" t="s">
        <v>911</v>
      </c>
      <c r="B34" s="6">
        <v>1</v>
      </c>
      <c r="C34" s="2" t="s">
        <v>3</v>
      </c>
      <c r="D34" s="2" t="s">
        <v>3</v>
      </c>
    </row>
    <row r="35" spans="1:4" x14ac:dyDescent="0.25">
      <c r="A35" s="2" t="s">
        <v>912</v>
      </c>
      <c r="B35" s="6">
        <v>1</v>
      </c>
      <c r="C35" s="2" t="s">
        <v>3</v>
      </c>
      <c r="D35" s="2" t="s">
        <v>3</v>
      </c>
    </row>
    <row r="36" spans="1:4" x14ac:dyDescent="0.25">
      <c r="A36" s="2" t="s">
        <v>913</v>
      </c>
      <c r="B36" s="6">
        <v>1</v>
      </c>
      <c r="C36" s="2" t="s">
        <v>3</v>
      </c>
      <c r="D36" s="2" t="s">
        <v>3</v>
      </c>
    </row>
    <row r="37" spans="1:4" x14ac:dyDescent="0.25">
      <c r="A37" s="2" t="s">
        <v>914</v>
      </c>
      <c r="B37" s="6">
        <v>1</v>
      </c>
      <c r="C37" s="2" t="s">
        <v>3</v>
      </c>
      <c r="D37" s="2" t="s">
        <v>3</v>
      </c>
    </row>
    <row r="38" spans="1:4" x14ac:dyDescent="0.25">
      <c r="A38" s="2" t="s">
        <v>872</v>
      </c>
      <c r="B38" s="6">
        <v>1</v>
      </c>
      <c r="C38" s="2" t="s">
        <v>3</v>
      </c>
      <c r="D38" s="2" t="s">
        <v>3</v>
      </c>
    </row>
    <row r="39" spans="1:4" x14ac:dyDescent="0.25">
      <c r="A39" s="2" t="s">
        <v>869</v>
      </c>
      <c r="B39" s="6">
        <v>1</v>
      </c>
      <c r="C39" s="2" t="s">
        <v>3</v>
      </c>
      <c r="D39" s="2" t="s">
        <v>3</v>
      </c>
    </row>
    <row r="40" spans="1:4" x14ac:dyDescent="0.25">
      <c r="A40" s="2" t="s">
        <v>918</v>
      </c>
      <c r="B40" s="6">
        <v>1</v>
      </c>
      <c r="C40" s="2" t="s">
        <v>3</v>
      </c>
      <c r="D40" s="2" t="s">
        <v>3</v>
      </c>
    </row>
    <row r="41" spans="1:4" x14ac:dyDescent="0.25">
      <c r="A41" s="2" t="s">
        <v>919</v>
      </c>
      <c r="B41" s="6">
        <v>1</v>
      </c>
      <c r="C41" s="2" t="s">
        <v>3</v>
      </c>
      <c r="D41" s="2" t="s">
        <v>3</v>
      </c>
    </row>
    <row r="42" spans="1:4" x14ac:dyDescent="0.25">
      <c r="A42" s="2" t="s">
        <v>920</v>
      </c>
      <c r="B42" s="6">
        <v>1</v>
      </c>
      <c r="C42" s="2" t="s">
        <v>3</v>
      </c>
      <c r="D42" s="2" t="s">
        <v>3</v>
      </c>
    </row>
    <row r="43" spans="1:4" x14ac:dyDescent="0.25">
      <c r="A43" s="2" t="s">
        <v>921</v>
      </c>
      <c r="B43" s="6">
        <v>1</v>
      </c>
      <c r="C43" s="2" t="s">
        <v>3</v>
      </c>
      <c r="D43" s="2" t="s">
        <v>3</v>
      </c>
    </row>
    <row r="44" spans="1:4" x14ac:dyDescent="0.25">
      <c r="A44" s="2" t="s">
        <v>922</v>
      </c>
      <c r="B44" s="6">
        <v>1</v>
      </c>
      <c r="C44" s="2" t="s">
        <v>3</v>
      </c>
      <c r="D44" s="2" t="s">
        <v>3</v>
      </c>
    </row>
    <row r="45" spans="1:4" x14ac:dyDescent="0.25">
      <c r="A45" s="2" t="s">
        <v>1121</v>
      </c>
      <c r="B45" s="6">
        <v>1</v>
      </c>
      <c r="C45" s="2" t="s">
        <v>3</v>
      </c>
      <c r="D45" s="2" t="s">
        <v>3</v>
      </c>
    </row>
    <row r="46" spans="1:4" x14ac:dyDescent="0.25">
      <c r="A46" s="2" t="s">
        <v>1122</v>
      </c>
      <c r="B46" s="6">
        <v>1</v>
      </c>
      <c r="C46" s="2" t="s">
        <v>3</v>
      </c>
      <c r="D46" s="2" t="s">
        <v>3</v>
      </c>
    </row>
    <row r="47" spans="1:4" x14ac:dyDescent="0.25">
      <c r="A47" s="2" t="s">
        <v>1123</v>
      </c>
      <c r="B47" s="6">
        <v>1</v>
      </c>
      <c r="C47" s="2" t="s">
        <v>3</v>
      </c>
      <c r="D47" s="2" t="s">
        <v>3</v>
      </c>
    </row>
    <row r="48" spans="1:4" x14ac:dyDescent="0.25">
      <c r="A48" s="2" t="s">
        <v>1157</v>
      </c>
      <c r="B48" s="6">
        <v>1</v>
      </c>
      <c r="C48" s="2" t="s">
        <v>3</v>
      </c>
      <c r="D48" s="2" t="s">
        <v>3</v>
      </c>
    </row>
    <row r="49" spans="1:4" x14ac:dyDescent="0.25">
      <c r="A49" s="2" t="s">
        <v>1163</v>
      </c>
      <c r="B49" s="6">
        <v>1</v>
      </c>
      <c r="C49" s="2" t="s">
        <v>3</v>
      </c>
      <c r="D49" s="2" t="s">
        <v>3</v>
      </c>
    </row>
    <row r="50" spans="1:4" x14ac:dyDescent="0.25">
      <c r="A50" s="2" t="s">
        <v>1164</v>
      </c>
      <c r="B50" s="6">
        <v>1</v>
      </c>
      <c r="C50" s="2" t="s">
        <v>3</v>
      </c>
      <c r="D50" s="2" t="s">
        <v>3</v>
      </c>
    </row>
    <row r="51" spans="1:4" x14ac:dyDescent="0.25">
      <c r="A51" s="2" t="s">
        <v>1165</v>
      </c>
      <c r="B51" s="6">
        <v>1</v>
      </c>
      <c r="C51" s="2" t="s">
        <v>3</v>
      </c>
      <c r="D51" s="2" t="s">
        <v>3</v>
      </c>
    </row>
    <row r="52" spans="1:4" x14ac:dyDescent="0.25">
      <c r="A52" s="2" t="s">
        <v>1166</v>
      </c>
      <c r="B52" s="6">
        <v>1</v>
      </c>
      <c r="C52" s="2" t="s">
        <v>3</v>
      </c>
      <c r="D52" s="2" t="s">
        <v>3</v>
      </c>
    </row>
    <row r="53" spans="1:4" x14ac:dyDescent="0.25">
      <c r="A53" s="2" t="s">
        <v>1167</v>
      </c>
      <c r="B53" s="6">
        <v>1</v>
      </c>
      <c r="C53" s="2" t="s">
        <v>3</v>
      </c>
      <c r="D53" s="2" t="s">
        <v>3</v>
      </c>
    </row>
    <row r="54" spans="1:4" x14ac:dyDescent="0.25">
      <c r="A54" s="2" t="s">
        <v>1168</v>
      </c>
      <c r="B54" s="6">
        <v>1</v>
      </c>
      <c r="C54" s="2" t="s">
        <v>3</v>
      </c>
      <c r="D54" s="2" t="s">
        <v>3</v>
      </c>
    </row>
    <row r="55" spans="1:4" x14ac:dyDescent="0.25">
      <c r="A55" s="2" t="s">
        <v>1169</v>
      </c>
      <c r="B55" s="6">
        <v>1</v>
      </c>
      <c r="C55" s="2" t="s">
        <v>3</v>
      </c>
      <c r="D55" s="2" t="s">
        <v>3</v>
      </c>
    </row>
    <row r="56" spans="1:4" x14ac:dyDescent="0.25">
      <c r="A56" s="2" t="s">
        <v>1170</v>
      </c>
      <c r="B56" s="6">
        <v>1</v>
      </c>
      <c r="C56" s="2" t="s">
        <v>3</v>
      </c>
      <c r="D56" s="2" t="s">
        <v>3</v>
      </c>
    </row>
    <row r="57" spans="1:4" x14ac:dyDescent="0.25">
      <c r="A57" s="2" t="s">
        <v>1171</v>
      </c>
      <c r="B57" s="6">
        <v>1</v>
      </c>
      <c r="C57" s="2" t="s">
        <v>3</v>
      </c>
      <c r="D57" s="2" t="s">
        <v>3</v>
      </c>
    </row>
    <row r="58" spans="1:4" x14ac:dyDescent="0.25">
      <c r="A58" s="2" t="s">
        <v>1172</v>
      </c>
      <c r="B58" s="6">
        <v>1</v>
      </c>
      <c r="C58" s="2" t="s">
        <v>3</v>
      </c>
      <c r="D58" s="2" t="s">
        <v>3</v>
      </c>
    </row>
    <row r="59" spans="1:4" x14ac:dyDescent="0.25">
      <c r="A59" s="2" t="s">
        <v>1173</v>
      </c>
      <c r="B59" s="6">
        <v>1</v>
      </c>
      <c r="C59" s="2" t="s">
        <v>3</v>
      </c>
      <c r="D59" s="2" t="s">
        <v>3</v>
      </c>
    </row>
    <row r="60" spans="1:4" x14ac:dyDescent="0.25">
      <c r="A60" s="2" t="s">
        <v>1227</v>
      </c>
      <c r="B60" s="6">
        <v>1</v>
      </c>
      <c r="C60" s="2" t="s">
        <v>3</v>
      </c>
      <c r="D60" s="2" t="s">
        <v>3</v>
      </c>
    </row>
    <row r="61" spans="1:4" x14ac:dyDescent="0.25">
      <c r="A61" s="2" t="s">
        <v>1228</v>
      </c>
      <c r="B61" s="6">
        <v>1</v>
      </c>
      <c r="C61" s="2" t="s">
        <v>3</v>
      </c>
      <c r="D61" s="2" t="s">
        <v>3</v>
      </c>
    </row>
    <row r="62" spans="1:4" x14ac:dyDescent="0.25">
      <c r="A62" s="2" t="s">
        <v>1229</v>
      </c>
      <c r="B62" s="6">
        <v>1</v>
      </c>
      <c r="C62" s="2" t="s">
        <v>3</v>
      </c>
      <c r="D62" s="2" t="s">
        <v>3</v>
      </c>
    </row>
    <row r="63" spans="1:4" x14ac:dyDescent="0.25">
      <c r="A63" s="2" t="s">
        <v>1230</v>
      </c>
      <c r="B63" s="6">
        <v>1</v>
      </c>
      <c r="C63" s="2" t="s">
        <v>3</v>
      </c>
      <c r="D63" s="2" t="s">
        <v>3</v>
      </c>
    </row>
    <row r="64" spans="1:4" x14ac:dyDescent="0.25">
      <c r="A64" s="2" t="s">
        <v>1231</v>
      </c>
      <c r="B64" s="6">
        <v>1</v>
      </c>
      <c r="C64" s="2" t="s">
        <v>3</v>
      </c>
      <c r="D64" s="2" t="s">
        <v>3</v>
      </c>
    </row>
    <row r="65" spans="1:4" x14ac:dyDescent="0.25">
      <c r="A65" s="2" t="s">
        <v>1359</v>
      </c>
      <c r="B65" s="6">
        <v>1</v>
      </c>
      <c r="C65" s="2" t="s">
        <v>3</v>
      </c>
      <c r="D65" s="2" t="s">
        <v>3</v>
      </c>
    </row>
    <row r="66" spans="1:4" x14ac:dyDescent="0.25">
      <c r="A66" s="2" t="s">
        <v>2016</v>
      </c>
      <c r="B66" s="6">
        <v>1</v>
      </c>
      <c r="C66" s="2" t="s">
        <v>3</v>
      </c>
      <c r="D66" s="2" t="s">
        <v>3</v>
      </c>
    </row>
    <row r="67" spans="1:4" x14ac:dyDescent="0.25">
      <c r="A67" s="2" t="s">
        <v>2017</v>
      </c>
      <c r="B67" s="6">
        <v>1</v>
      </c>
      <c r="C67" s="2" t="s">
        <v>3</v>
      </c>
      <c r="D67" s="2" t="s">
        <v>3</v>
      </c>
    </row>
    <row r="68" spans="1:4" x14ac:dyDescent="0.25">
      <c r="A68" s="2" t="s">
        <v>2018</v>
      </c>
      <c r="B68" s="6">
        <v>1</v>
      </c>
      <c r="C68" s="2" t="s">
        <v>3</v>
      </c>
      <c r="D68" s="2" t="s">
        <v>3</v>
      </c>
    </row>
    <row r="69" spans="1:4" x14ac:dyDescent="0.25">
      <c r="A69" s="2" t="s">
        <v>2019</v>
      </c>
      <c r="B69" s="6">
        <v>1</v>
      </c>
      <c r="C69" s="2" t="s">
        <v>3</v>
      </c>
      <c r="D69" s="2" t="s">
        <v>3</v>
      </c>
    </row>
    <row r="70" spans="1:4" x14ac:dyDescent="0.25">
      <c r="A70" s="2" t="s">
        <v>2020</v>
      </c>
      <c r="B70" s="6">
        <v>1</v>
      </c>
      <c r="C70" s="2" t="s">
        <v>3</v>
      </c>
      <c r="D70" s="2" t="s">
        <v>3</v>
      </c>
    </row>
    <row r="71" spans="1:4" x14ac:dyDescent="0.25">
      <c r="A71" s="2" t="s">
        <v>2021</v>
      </c>
      <c r="B71" s="6">
        <v>1</v>
      </c>
      <c r="C71" s="2" t="s">
        <v>3</v>
      </c>
      <c r="D71" s="2" t="s">
        <v>3</v>
      </c>
    </row>
    <row r="72" spans="1:4" x14ac:dyDescent="0.25">
      <c r="A72" s="2" t="s">
        <v>2022</v>
      </c>
      <c r="B72" s="6">
        <v>1</v>
      </c>
      <c r="C72" s="2" t="s">
        <v>3</v>
      </c>
      <c r="D72" s="2" t="s">
        <v>3</v>
      </c>
    </row>
    <row r="73" spans="1:4" x14ac:dyDescent="0.25">
      <c r="A73" s="2" t="s">
        <v>2023</v>
      </c>
      <c r="B73" s="6">
        <v>1</v>
      </c>
      <c r="C73" s="2" t="s">
        <v>3</v>
      </c>
      <c r="D73" s="2" t="s">
        <v>3</v>
      </c>
    </row>
    <row r="74" spans="1:4" x14ac:dyDescent="0.25">
      <c r="A74" s="2" t="s">
        <v>2024</v>
      </c>
      <c r="B74" s="6">
        <v>1</v>
      </c>
      <c r="C74" s="2" t="s">
        <v>3</v>
      </c>
      <c r="D74" s="2" t="s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8"/>
  <sheetViews>
    <sheetView zoomScaleNormal="100" workbookViewId="0">
      <pane ySplit="1" topLeftCell="A52" activePane="bottomLeft" state="frozen"/>
      <selection pane="bottomLeft" activeCell="C55" sqref="C55"/>
    </sheetView>
  </sheetViews>
  <sheetFormatPr defaultRowHeight="15" x14ac:dyDescent="0.25"/>
  <cols>
    <col min="1" max="1" width="6.140625" style="1" bestFit="1" customWidth="1" collapsed="1"/>
    <col min="2" max="2" width="8.7109375" style="1" bestFit="1" customWidth="1" collapsed="1"/>
    <col min="3" max="3" width="72.85546875" style="1" customWidth="1" collapsed="1"/>
    <col min="4" max="5" width="62.5703125" style="1" customWidth="1" collapsed="1"/>
    <col min="6" max="6" width="57.42578125" style="1" bestFit="1" customWidth="1" collapsed="1"/>
    <col min="7" max="7" width="55.28515625" style="1" bestFit="1" customWidth="1" collapsed="1"/>
    <col min="8" max="8" width="63.7109375" style="1" bestFit="1" customWidth="1" collapsed="1"/>
    <col min="9" max="10" width="59.5703125" style="1" bestFit="1" customWidth="1" collapsed="1"/>
    <col min="11" max="16384" width="9.140625" style="1" collapsed="1"/>
  </cols>
  <sheetData>
    <row r="1" spans="1:10" x14ac:dyDescent="0.25">
      <c r="A1" s="7" t="s">
        <v>0</v>
      </c>
      <c r="B1" s="43" t="s">
        <v>18</v>
      </c>
      <c r="C1" s="43" t="s">
        <v>489</v>
      </c>
      <c r="D1" s="43" t="s">
        <v>375</v>
      </c>
      <c r="E1" s="43" t="s">
        <v>445</v>
      </c>
      <c r="F1" s="43" t="s">
        <v>374</v>
      </c>
      <c r="G1" s="43" t="s">
        <v>373</v>
      </c>
      <c r="H1" s="43" t="s">
        <v>372</v>
      </c>
      <c r="I1" s="43" t="s">
        <v>607</v>
      </c>
      <c r="J1" s="43" t="s">
        <v>858</v>
      </c>
    </row>
    <row r="2" spans="1:10" ht="30" x14ac:dyDescent="0.25">
      <c r="A2" s="2" t="s">
        <v>1</v>
      </c>
      <c r="B2" s="6">
        <v>1</v>
      </c>
      <c r="C2" s="30" t="s">
        <v>851</v>
      </c>
      <c r="D2" s="43"/>
      <c r="E2" s="43"/>
      <c r="F2" s="43"/>
      <c r="G2" s="43"/>
      <c r="H2" s="43"/>
      <c r="I2" s="43"/>
      <c r="J2" s="43" t="s">
        <v>308</v>
      </c>
    </row>
    <row r="3" spans="1:10" ht="45" x14ac:dyDescent="0.25">
      <c r="A3" s="2" t="s">
        <v>2</v>
      </c>
      <c r="B3" s="6">
        <v>1</v>
      </c>
      <c r="C3" s="6"/>
      <c r="D3" s="30" t="s">
        <v>852</v>
      </c>
      <c r="E3" s="30"/>
      <c r="F3" s="6"/>
      <c r="G3" s="6"/>
      <c r="H3" s="6"/>
      <c r="I3" s="6"/>
      <c r="J3" s="43" t="s">
        <v>308</v>
      </c>
    </row>
    <row r="4" spans="1:10" ht="45" x14ac:dyDescent="0.25">
      <c r="A4" s="2" t="s">
        <v>16</v>
      </c>
      <c r="B4" s="6">
        <v>1</v>
      </c>
      <c r="C4" s="6"/>
      <c r="D4" s="30" t="s">
        <v>852</v>
      </c>
      <c r="E4" s="30"/>
      <c r="F4" s="6"/>
      <c r="G4" s="6"/>
      <c r="H4" s="6"/>
      <c r="I4" s="6"/>
      <c r="J4" s="43" t="s">
        <v>308</v>
      </c>
    </row>
    <row r="5" spans="1:10" ht="45" x14ac:dyDescent="0.25">
      <c r="A5" s="2" t="s">
        <v>114</v>
      </c>
      <c r="B5" s="6">
        <v>1</v>
      </c>
      <c r="C5" s="6"/>
      <c r="D5" s="30" t="s">
        <v>852</v>
      </c>
      <c r="E5" s="30"/>
      <c r="F5" s="6"/>
      <c r="G5" s="6"/>
      <c r="H5" s="6"/>
      <c r="I5" s="6"/>
      <c r="J5" s="43" t="s">
        <v>308</v>
      </c>
    </row>
    <row r="6" spans="1:10" ht="150" customHeight="1" x14ac:dyDescent="0.25">
      <c r="A6" s="2" t="s">
        <v>132</v>
      </c>
      <c r="B6" s="2">
        <v>1</v>
      </c>
      <c r="C6" s="2"/>
      <c r="D6" s="2"/>
      <c r="E6" s="49" t="s">
        <v>1013</v>
      </c>
      <c r="F6" s="2" t="s">
        <v>1014</v>
      </c>
      <c r="G6" s="2" t="s">
        <v>1015</v>
      </c>
      <c r="H6" s="2" t="s">
        <v>444</v>
      </c>
      <c r="I6" s="43"/>
      <c r="J6" s="43" t="s">
        <v>3</v>
      </c>
    </row>
    <row r="7" spans="1:10" ht="75" x14ac:dyDescent="0.25">
      <c r="A7" s="2" t="s">
        <v>123</v>
      </c>
      <c r="B7" s="6">
        <v>1</v>
      </c>
      <c r="C7" s="6"/>
      <c r="D7" s="6"/>
      <c r="E7" s="49" t="s">
        <v>1016</v>
      </c>
      <c r="F7" s="2" t="s">
        <v>1014</v>
      </c>
      <c r="G7" s="2" t="s">
        <v>1015</v>
      </c>
      <c r="H7" s="2" t="s">
        <v>444</v>
      </c>
      <c r="I7" s="6"/>
      <c r="J7" s="43" t="s">
        <v>3</v>
      </c>
    </row>
    <row r="8" spans="1:10" ht="30" x14ac:dyDescent="0.25">
      <c r="A8" s="2" t="s">
        <v>134</v>
      </c>
      <c r="B8" s="6">
        <v>1</v>
      </c>
      <c r="C8" s="30" t="s">
        <v>1019</v>
      </c>
      <c r="D8" s="6"/>
      <c r="E8" s="49"/>
      <c r="F8" s="2"/>
      <c r="G8" s="2"/>
      <c r="H8" s="2"/>
      <c r="I8" s="6"/>
      <c r="J8" s="43" t="s">
        <v>3</v>
      </c>
    </row>
    <row r="9" spans="1:10" ht="75" x14ac:dyDescent="0.25">
      <c r="A9" s="2" t="s">
        <v>135</v>
      </c>
      <c r="B9" s="6">
        <v>1</v>
      </c>
      <c r="C9" s="2"/>
      <c r="D9" s="30" t="s">
        <v>1020</v>
      </c>
      <c r="E9" s="49"/>
      <c r="F9" s="2"/>
      <c r="G9" s="2"/>
      <c r="H9" s="2"/>
      <c r="I9" s="6"/>
      <c r="J9" s="43" t="s">
        <v>3</v>
      </c>
    </row>
    <row r="10" spans="1:10" ht="75" x14ac:dyDescent="0.25">
      <c r="A10" s="2" t="s">
        <v>136</v>
      </c>
      <c r="B10" s="6">
        <v>1</v>
      </c>
      <c r="C10" s="2"/>
      <c r="D10" s="30" t="s">
        <v>1020</v>
      </c>
      <c r="E10" s="49"/>
      <c r="F10" s="2"/>
      <c r="G10" s="2"/>
      <c r="H10" s="2"/>
      <c r="I10" s="6"/>
      <c r="J10" s="43" t="s">
        <v>3</v>
      </c>
    </row>
    <row r="11" spans="1:10" ht="105" x14ac:dyDescent="0.25">
      <c r="A11" s="2" t="s">
        <v>157</v>
      </c>
      <c r="B11" s="6">
        <v>1</v>
      </c>
      <c r="C11" s="30"/>
      <c r="D11" s="30" t="s">
        <v>1278</v>
      </c>
      <c r="E11" s="49"/>
      <c r="F11" s="2"/>
      <c r="G11" s="2"/>
      <c r="H11" s="2"/>
      <c r="I11" s="6"/>
      <c r="J11" s="43" t="s">
        <v>3</v>
      </c>
    </row>
    <row r="12" spans="1:10" ht="135" x14ac:dyDescent="0.25">
      <c r="A12" s="2" t="s">
        <v>172</v>
      </c>
      <c r="B12" s="6">
        <v>1</v>
      </c>
      <c r="C12" s="30"/>
      <c r="D12" s="30" t="s">
        <v>1021</v>
      </c>
      <c r="E12" s="30"/>
      <c r="F12" s="2"/>
      <c r="G12" s="2"/>
      <c r="H12" s="2"/>
      <c r="I12" s="30" t="s">
        <v>1107</v>
      </c>
      <c r="J12" s="43" t="s">
        <v>3</v>
      </c>
    </row>
    <row r="13" spans="1:10" ht="120" x14ac:dyDescent="0.25">
      <c r="A13" s="2" t="s">
        <v>181</v>
      </c>
      <c r="B13" s="6">
        <v>1</v>
      </c>
      <c r="C13" s="30" t="s">
        <v>1282</v>
      </c>
      <c r="D13" s="43"/>
      <c r="E13" s="43"/>
      <c r="F13" s="43"/>
      <c r="G13" s="43"/>
      <c r="H13" s="43"/>
      <c r="I13" s="43"/>
      <c r="J13" s="43" t="s">
        <v>3</v>
      </c>
    </row>
    <row r="14" spans="1:10" ht="75" x14ac:dyDescent="0.25">
      <c r="A14" s="2" t="s">
        <v>185</v>
      </c>
      <c r="B14" s="6">
        <v>1</v>
      </c>
      <c r="C14" s="30" t="s">
        <v>1026</v>
      </c>
      <c r="D14" s="43"/>
      <c r="E14" s="43"/>
      <c r="F14" s="43"/>
      <c r="G14" s="43"/>
      <c r="H14" s="43"/>
      <c r="I14" s="43"/>
      <c r="J14" s="43" t="s">
        <v>3</v>
      </c>
    </row>
    <row r="15" spans="1:10" ht="90" x14ac:dyDescent="0.25">
      <c r="A15" s="2" t="s">
        <v>187</v>
      </c>
      <c r="B15" s="2">
        <v>1</v>
      </c>
      <c r="C15" s="30" t="s">
        <v>1027</v>
      </c>
      <c r="D15" s="2"/>
      <c r="E15" s="2"/>
      <c r="F15" s="2"/>
      <c r="G15" s="2"/>
      <c r="H15" s="2"/>
      <c r="I15" s="2"/>
      <c r="J15" s="43" t="s">
        <v>3</v>
      </c>
    </row>
    <row r="16" spans="1:10" ht="150" x14ac:dyDescent="0.25">
      <c r="A16" s="2" t="s">
        <v>188</v>
      </c>
      <c r="B16" s="2">
        <v>1</v>
      </c>
      <c r="C16" s="31" t="s">
        <v>1339</v>
      </c>
      <c r="D16" s="2"/>
      <c r="E16" s="2"/>
      <c r="F16" s="2"/>
      <c r="G16" s="2"/>
      <c r="H16" s="2"/>
      <c r="I16" s="2"/>
      <c r="J16" s="43" t="s">
        <v>3</v>
      </c>
    </row>
    <row r="17" spans="1:10" ht="90" x14ac:dyDescent="0.25">
      <c r="A17" s="2" t="s">
        <v>189</v>
      </c>
      <c r="B17" s="2">
        <v>1</v>
      </c>
      <c r="C17" s="31" t="s">
        <v>1343</v>
      </c>
      <c r="D17" s="2"/>
      <c r="E17" s="2"/>
      <c r="F17" s="2"/>
      <c r="G17" s="2"/>
      <c r="H17" s="2"/>
      <c r="I17" s="2"/>
      <c r="J17" s="43" t="s">
        <v>3</v>
      </c>
    </row>
    <row r="18" spans="1:10" ht="45" x14ac:dyDescent="0.25">
      <c r="A18" s="2" t="s">
        <v>190</v>
      </c>
      <c r="B18" s="2">
        <v>1</v>
      </c>
      <c r="C18" s="31" t="s">
        <v>1108</v>
      </c>
      <c r="D18" s="2"/>
      <c r="E18" s="2"/>
      <c r="F18" s="2"/>
      <c r="G18" s="2"/>
      <c r="H18" s="2"/>
      <c r="I18" s="2"/>
      <c r="J18" s="2" t="s">
        <v>3</v>
      </c>
    </row>
    <row r="19" spans="1:10" ht="135" x14ac:dyDescent="0.25">
      <c r="A19" s="2" t="s">
        <v>191</v>
      </c>
      <c r="B19" s="2">
        <v>1</v>
      </c>
      <c r="C19" s="31" t="s">
        <v>856</v>
      </c>
      <c r="D19" s="2"/>
      <c r="E19" s="2"/>
      <c r="F19" s="2"/>
      <c r="G19" s="2"/>
      <c r="H19" s="2"/>
      <c r="I19" s="2"/>
      <c r="J19" s="2" t="s">
        <v>3</v>
      </c>
    </row>
    <row r="20" spans="1:10" ht="75" x14ac:dyDescent="0.25">
      <c r="A20" s="2" t="s">
        <v>192</v>
      </c>
      <c r="B20" s="2">
        <v>1</v>
      </c>
      <c r="C20" s="31" t="s">
        <v>1396</v>
      </c>
      <c r="D20" s="2"/>
    </row>
    <row r="21" spans="1:10" s="79" customFormat="1" ht="60" x14ac:dyDescent="0.25">
      <c r="A21" s="73" t="s">
        <v>911</v>
      </c>
      <c r="B21" s="73">
        <v>1</v>
      </c>
      <c r="C21" s="31" t="s">
        <v>1061</v>
      </c>
      <c r="D21" s="73"/>
    </row>
    <row r="22" spans="1:10" s="79" customFormat="1" ht="150" x14ac:dyDescent="0.25">
      <c r="A22" s="73" t="s">
        <v>912</v>
      </c>
      <c r="B22" s="73">
        <v>1</v>
      </c>
      <c r="C22" s="95"/>
      <c r="D22" s="95" t="s">
        <v>1118</v>
      </c>
    </row>
    <row r="23" spans="1:10" s="79" customFormat="1" ht="75" x14ac:dyDescent="0.25">
      <c r="A23" s="73" t="s">
        <v>913</v>
      </c>
      <c r="B23" s="73">
        <v>1</v>
      </c>
      <c r="C23" s="95" t="s">
        <v>1008</v>
      </c>
      <c r="D23" s="95"/>
    </row>
    <row r="24" spans="1:10" ht="120" x14ac:dyDescent="0.25">
      <c r="A24" s="2" t="s">
        <v>914</v>
      </c>
      <c r="B24" s="2">
        <v>1</v>
      </c>
      <c r="C24" s="31" t="s">
        <v>2034</v>
      </c>
      <c r="D24" s="2"/>
      <c r="E24" s="2"/>
      <c r="F24" s="2"/>
      <c r="G24" s="2"/>
      <c r="H24" s="2"/>
      <c r="I24" s="2"/>
      <c r="J24" s="2" t="s">
        <v>308</v>
      </c>
    </row>
    <row r="25" spans="1:10" ht="120" x14ac:dyDescent="0.25">
      <c r="A25" s="2" t="s">
        <v>872</v>
      </c>
      <c r="B25" s="2">
        <v>1</v>
      </c>
      <c r="C25" s="31" t="s">
        <v>2034</v>
      </c>
      <c r="D25" s="2"/>
      <c r="E25" s="2"/>
      <c r="F25" s="2"/>
      <c r="G25" s="2"/>
      <c r="H25" s="2"/>
      <c r="I25" s="2"/>
      <c r="J25" s="2" t="s">
        <v>308</v>
      </c>
    </row>
    <row r="26" spans="1:10" ht="60" x14ac:dyDescent="0.25">
      <c r="A26" s="2" t="s">
        <v>869</v>
      </c>
      <c r="B26" s="2">
        <v>1</v>
      </c>
      <c r="C26" s="31" t="s">
        <v>1078</v>
      </c>
      <c r="D26" s="2"/>
      <c r="J26" s="1" t="s">
        <v>308</v>
      </c>
    </row>
    <row r="27" spans="1:10" s="79" customFormat="1" ht="135" x14ac:dyDescent="0.25">
      <c r="A27" s="73" t="s">
        <v>918</v>
      </c>
      <c r="B27" s="73">
        <v>1</v>
      </c>
      <c r="C27" s="31" t="s">
        <v>1077</v>
      </c>
      <c r="D27" s="95" t="s">
        <v>1083</v>
      </c>
      <c r="J27" s="79" t="s">
        <v>308</v>
      </c>
    </row>
    <row r="28" spans="1:10" s="79" customFormat="1" ht="75" x14ac:dyDescent="0.25">
      <c r="A28" s="73" t="s">
        <v>919</v>
      </c>
      <c r="B28" s="73">
        <v>1</v>
      </c>
      <c r="C28" s="95" t="s">
        <v>1008</v>
      </c>
      <c r="D28" s="95"/>
      <c r="J28" s="79" t="s">
        <v>308</v>
      </c>
    </row>
    <row r="29" spans="1:10" s="79" customFormat="1" ht="150" x14ac:dyDescent="0.25">
      <c r="A29" s="73" t="s">
        <v>920</v>
      </c>
      <c r="B29" s="73">
        <v>1</v>
      </c>
      <c r="C29" s="95"/>
      <c r="D29" s="95" t="s">
        <v>1155</v>
      </c>
      <c r="J29" s="79" t="s">
        <v>308</v>
      </c>
    </row>
    <row r="30" spans="1:10" s="79" customFormat="1" ht="75" x14ac:dyDescent="0.25">
      <c r="A30" s="73" t="s">
        <v>921</v>
      </c>
      <c r="B30" s="73">
        <v>1</v>
      </c>
      <c r="C30" s="95" t="s">
        <v>1124</v>
      </c>
      <c r="D30" s="95"/>
      <c r="J30" s="79" t="s">
        <v>308</v>
      </c>
    </row>
    <row r="31" spans="1:10" s="79" customFormat="1" ht="150" x14ac:dyDescent="0.25">
      <c r="A31" s="73" t="s">
        <v>922</v>
      </c>
      <c r="B31" s="73">
        <v>1</v>
      </c>
      <c r="C31" s="95"/>
      <c r="D31" s="95" t="s">
        <v>1155</v>
      </c>
      <c r="J31" s="79" t="s">
        <v>308</v>
      </c>
    </row>
    <row r="32" spans="1:10" s="79" customFormat="1" ht="75" x14ac:dyDescent="0.25">
      <c r="A32" s="73" t="s">
        <v>1121</v>
      </c>
      <c r="B32" s="73">
        <v>1</v>
      </c>
      <c r="C32" s="95" t="s">
        <v>1124</v>
      </c>
      <c r="D32" s="95"/>
      <c r="J32" s="79" t="s">
        <v>308</v>
      </c>
    </row>
    <row r="33" spans="1:10" ht="75" x14ac:dyDescent="0.25">
      <c r="A33" s="73" t="s">
        <v>1122</v>
      </c>
      <c r="B33" s="2">
        <v>1</v>
      </c>
      <c r="C33" s="31" t="s">
        <v>1451</v>
      </c>
      <c r="D33" s="2"/>
      <c r="E33" s="2"/>
      <c r="F33" s="2"/>
      <c r="G33" s="2"/>
      <c r="H33" s="2"/>
      <c r="I33" s="2"/>
      <c r="J33" s="107" t="s">
        <v>308</v>
      </c>
    </row>
    <row r="34" spans="1:10" ht="75" x14ac:dyDescent="0.25">
      <c r="A34" s="73" t="s">
        <v>1123</v>
      </c>
      <c r="B34" s="2">
        <v>1</v>
      </c>
      <c r="C34" s="31" t="s">
        <v>1995</v>
      </c>
      <c r="D34" s="2"/>
      <c r="E34" s="2"/>
      <c r="F34" s="2"/>
      <c r="G34" s="2"/>
      <c r="H34" s="2"/>
      <c r="I34" s="2"/>
      <c r="J34" s="107" t="s">
        <v>308</v>
      </c>
    </row>
    <row r="35" spans="1:10" ht="75" x14ac:dyDescent="0.25">
      <c r="A35" s="73" t="s">
        <v>1157</v>
      </c>
      <c r="B35" s="2">
        <v>1</v>
      </c>
      <c r="C35" s="31" t="s">
        <v>2003</v>
      </c>
      <c r="D35" s="2"/>
      <c r="E35" s="2"/>
      <c r="F35" s="2"/>
      <c r="G35" s="2"/>
      <c r="H35" s="2"/>
      <c r="I35" s="2"/>
      <c r="J35" s="107" t="s">
        <v>308</v>
      </c>
    </row>
    <row r="36" spans="1:10" ht="75" x14ac:dyDescent="0.25">
      <c r="A36" s="73" t="s">
        <v>1163</v>
      </c>
      <c r="B36" s="2">
        <v>1</v>
      </c>
      <c r="C36" s="31" t="s">
        <v>2004</v>
      </c>
      <c r="D36" s="2"/>
      <c r="E36" s="2"/>
      <c r="F36" s="2"/>
      <c r="G36" s="2"/>
      <c r="H36" s="2"/>
      <c r="I36" s="2"/>
      <c r="J36" s="107" t="s">
        <v>308</v>
      </c>
    </row>
    <row r="37" spans="1:10" ht="45" x14ac:dyDescent="0.25">
      <c r="A37" s="73" t="s">
        <v>1164</v>
      </c>
      <c r="B37" s="2">
        <v>1</v>
      </c>
      <c r="C37" s="31" t="s">
        <v>1573</v>
      </c>
      <c r="D37" s="2"/>
      <c r="E37" s="2"/>
      <c r="F37" s="2"/>
      <c r="G37" s="2"/>
      <c r="H37" s="2"/>
      <c r="I37" s="2"/>
      <c r="J37" s="107" t="s">
        <v>308</v>
      </c>
    </row>
    <row r="38" spans="1:10" ht="75" x14ac:dyDescent="0.25">
      <c r="A38" s="73" t="s">
        <v>1165</v>
      </c>
      <c r="B38" s="2">
        <v>1</v>
      </c>
      <c r="C38" s="31" t="s">
        <v>1451</v>
      </c>
      <c r="D38" s="2"/>
      <c r="E38" s="2"/>
      <c r="F38" s="2"/>
      <c r="G38" s="2"/>
      <c r="H38" s="2"/>
      <c r="I38" s="2"/>
      <c r="J38" s="107" t="s">
        <v>308</v>
      </c>
    </row>
    <row r="39" spans="1:10" ht="105" x14ac:dyDescent="0.25">
      <c r="A39" s="73" t="s">
        <v>1166</v>
      </c>
      <c r="B39" s="2">
        <v>1</v>
      </c>
      <c r="C39" s="31" t="s">
        <v>1475</v>
      </c>
      <c r="D39" s="2"/>
      <c r="E39" s="2"/>
      <c r="F39" s="2"/>
      <c r="G39" s="2"/>
      <c r="H39" s="2"/>
      <c r="I39" s="2"/>
      <c r="J39" s="107" t="s">
        <v>308</v>
      </c>
    </row>
    <row r="40" spans="1:10" ht="120" x14ac:dyDescent="0.25">
      <c r="A40" s="73" t="s">
        <v>1167</v>
      </c>
      <c r="B40" s="2">
        <v>1</v>
      </c>
      <c r="C40" s="31" t="s">
        <v>2005</v>
      </c>
      <c r="D40" s="2"/>
      <c r="E40" s="2"/>
      <c r="F40" s="2"/>
      <c r="G40" s="2"/>
      <c r="H40" s="2"/>
      <c r="I40" s="2"/>
      <c r="J40" s="107" t="s">
        <v>308</v>
      </c>
    </row>
    <row r="41" spans="1:10" ht="75" x14ac:dyDescent="0.25">
      <c r="A41" s="73" t="s">
        <v>1168</v>
      </c>
      <c r="B41" s="2">
        <v>1</v>
      </c>
      <c r="C41" s="31" t="s">
        <v>2004</v>
      </c>
      <c r="D41" s="2"/>
      <c r="E41" s="2"/>
      <c r="F41" s="2"/>
      <c r="G41" s="2"/>
      <c r="H41" s="2"/>
      <c r="I41" s="2"/>
      <c r="J41" s="107" t="s">
        <v>308</v>
      </c>
    </row>
    <row r="42" spans="1:10" ht="45" x14ac:dyDescent="0.25">
      <c r="A42" s="73" t="s">
        <v>1169</v>
      </c>
      <c r="B42" s="2">
        <v>1</v>
      </c>
      <c r="C42" s="31" t="s">
        <v>1573</v>
      </c>
      <c r="D42" s="2"/>
      <c r="E42" s="2"/>
      <c r="F42" s="2"/>
      <c r="G42" s="2"/>
      <c r="H42" s="2"/>
      <c r="I42" s="2"/>
      <c r="J42" s="107" t="s">
        <v>308</v>
      </c>
    </row>
    <row r="43" spans="1:10" ht="30" x14ac:dyDescent="0.25">
      <c r="A43" s="73" t="s">
        <v>1170</v>
      </c>
      <c r="B43" s="2">
        <v>1</v>
      </c>
      <c r="C43" s="31" t="s">
        <v>1708</v>
      </c>
      <c r="D43" s="2"/>
      <c r="E43" s="2"/>
      <c r="F43" s="2"/>
      <c r="G43" s="2"/>
      <c r="H43" s="2"/>
      <c r="I43" s="2"/>
      <c r="J43" s="107" t="s">
        <v>308</v>
      </c>
    </row>
    <row r="44" spans="1:10" ht="30" x14ac:dyDescent="0.25">
      <c r="A44" s="73" t="s">
        <v>1171</v>
      </c>
      <c r="B44" s="2">
        <v>1</v>
      </c>
      <c r="C44" s="31" t="s">
        <v>1719</v>
      </c>
      <c r="D44" s="2"/>
      <c r="E44" s="2"/>
      <c r="F44" s="2"/>
      <c r="G44" s="2"/>
      <c r="H44" s="2"/>
      <c r="I44" s="2"/>
      <c r="J44" s="107" t="s">
        <v>308</v>
      </c>
    </row>
    <row r="45" spans="1:10" ht="45" x14ac:dyDescent="0.25">
      <c r="A45" s="73" t="s">
        <v>1172</v>
      </c>
      <c r="B45" s="2">
        <v>1</v>
      </c>
      <c r="C45" s="31" t="s">
        <v>1741</v>
      </c>
      <c r="D45" s="2"/>
      <c r="E45" s="2"/>
      <c r="F45" s="2"/>
      <c r="G45" s="2"/>
      <c r="H45" s="2"/>
      <c r="I45" s="2"/>
      <c r="J45" s="107" t="s">
        <v>308</v>
      </c>
    </row>
    <row r="46" spans="1:10" ht="45" x14ac:dyDescent="0.25">
      <c r="A46" s="73" t="s">
        <v>1173</v>
      </c>
      <c r="B46" s="2">
        <v>1</v>
      </c>
      <c r="C46" s="31" t="s">
        <v>1756</v>
      </c>
      <c r="D46" s="2"/>
      <c r="E46" s="2"/>
      <c r="F46" s="2"/>
      <c r="G46" s="2"/>
      <c r="H46" s="2"/>
      <c r="I46" s="2"/>
      <c r="J46" s="107" t="s">
        <v>308</v>
      </c>
    </row>
    <row r="47" spans="1:10" ht="45" x14ac:dyDescent="0.25">
      <c r="A47" s="73" t="s">
        <v>1227</v>
      </c>
      <c r="B47" s="2">
        <v>1</v>
      </c>
      <c r="C47" s="31" t="s">
        <v>1770</v>
      </c>
      <c r="D47" s="2"/>
      <c r="E47" s="2"/>
      <c r="F47" s="2"/>
      <c r="G47" s="2"/>
      <c r="H47" s="2"/>
      <c r="I47" s="2"/>
      <c r="J47" s="107" t="s">
        <v>308</v>
      </c>
    </row>
    <row r="48" spans="1:10" ht="45" x14ac:dyDescent="0.25">
      <c r="A48" s="73" t="s">
        <v>1228</v>
      </c>
      <c r="B48" s="2">
        <v>1</v>
      </c>
      <c r="C48" s="31" t="s">
        <v>1770</v>
      </c>
      <c r="D48" s="2"/>
      <c r="E48" s="2"/>
      <c r="F48" s="2"/>
      <c r="G48" s="2"/>
      <c r="H48" s="2"/>
      <c r="I48" s="2"/>
      <c r="J48" s="107" t="s">
        <v>308</v>
      </c>
    </row>
    <row r="49" spans="1:10" ht="60" x14ac:dyDescent="0.25">
      <c r="A49" s="73" t="s">
        <v>1229</v>
      </c>
      <c r="B49" s="2">
        <v>1</v>
      </c>
      <c r="C49" s="31" t="s">
        <v>1960</v>
      </c>
      <c r="D49" s="2"/>
      <c r="E49" s="2"/>
      <c r="F49" s="2"/>
      <c r="G49" s="2"/>
      <c r="H49" s="2"/>
      <c r="I49" s="2"/>
      <c r="J49" s="107" t="s">
        <v>308</v>
      </c>
    </row>
    <row r="50" spans="1:10" ht="60" x14ac:dyDescent="0.25">
      <c r="A50" s="73" t="s">
        <v>1230</v>
      </c>
      <c r="B50" s="2">
        <v>1</v>
      </c>
      <c r="C50" s="31" t="s">
        <v>1961</v>
      </c>
      <c r="D50" s="2"/>
      <c r="E50" s="2"/>
      <c r="F50" s="2"/>
      <c r="G50" s="2"/>
      <c r="H50" s="2"/>
      <c r="I50" s="2"/>
      <c r="J50" s="107" t="s">
        <v>308</v>
      </c>
    </row>
    <row r="51" spans="1:10" ht="30" x14ac:dyDescent="0.25">
      <c r="A51" s="73" t="s">
        <v>1231</v>
      </c>
      <c r="B51" s="2">
        <v>1</v>
      </c>
      <c r="C51" s="31" t="s">
        <v>1708</v>
      </c>
      <c r="D51" s="2"/>
      <c r="E51" s="2"/>
      <c r="F51" s="2"/>
      <c r="G51" s="2"/>
      <c r="H51" s="2"/>
      <c r="I51" s="2"/>
      <c r="J51" s="107" t="s">
        <v>308</v>
      </c>
    </row>
    <row r="52" spans="1:10" ht="30" x14ac:dyDescent="0.25">
      <c r="A52" s="73" t="s">
        <v>1359</v>
      </c>
      <c r="B52" s="2">
        <v>1</v>
      </c>
      <c r="C52" s="31" t="s">
        <v>1719</v>
      </c>
      <c r="D52" s="2"/>
      <c r="E52" s="2"/>
      <c r="F52" s="2"/>
      <c r="G52" s="2"/>
      <c r="H52" s="2"/>
      <c r="I52" s="2"/>
      <c r="J52" s="107" t="s">
        <v>308</v>
      </c>
    </row>
    <row r="53" spans="1:10" ht="45" x14ac:dyDescent="0.25">
      <c r="A53" s="73" t="s">
        <v>2016</v>
      </c>
      <c r="B53" s="2">
        <v>1</v>
      </c>
      <c r="C53" s="31" t="s">
        <v>1741</v>
      </c>
      <c r="D53" s="2"/>
      <c r="E53" s="2"/>
      <c r="F53" s="2"/>
      <c r="G53" s="2"/>
      <c r="H53" s="2"/>
      <c r="I53" s="2"/>
      <c r="J53" s="107" t="s">
        <v>308</v>
      </c>
    </row>
    <row r="54" spans="1:10" ht="45" x14ac:dyDescent="0.25">
      <c r="A54" s="73" t="s">
        <v>2017</v>
      </c>
      <c r="B54" s="2">
        <v>1</v>
      </c>
      <c r="C54" s="31" t="s">
        <v>1756</v>
      </c>
      <c r="D54" s="2"/>
      <c r="E54" s="2"/>
      <c r="F54" s="2"/>
      <c r="G54" s="2"/>
      <c r="H54" s="2"/>
      <c r="I54" s="2"/>
      <c r="J54" s="107" t="s">
        <v>308</v>
      </c>
    </row>
    <row r="55" spans="1:10" ht="45" x14ac:dyDescent="0.25">
      <c r="A55" s="73" t="s">
        <v>2018</v>
      </c>
      <c r="B55" s="2">
        <v>1</v>
      </c>
      <c r="C55" s="31" t="s">
        <v>1770</v>
      </c>
      <c r="D55" s="2"/>
      <c r="E55" s="2"/>
      <c r="F55" s="2"/>
      <c r="G55" s="2"/>
      <c r="H55" s="2"/>
      <c r="I55" s="2"/>
      <c r="J55" s="107" t="s">
        <v>308</v>
      </c>
    </row>
    <row r="56" spans="1:10" ht="45" x14ac:dyDescent="0.25">
      <c r="A56" s="73" t="s">
        <v>2019</v>
      </c>
      <c r="B56" s="2">
        <v>1</v>
      </c>
      <c r="C56" s="31" t="s">
        <v>1770</v>
      </c>
      <c r="D56" s="2"/>
      <c r="E56" s="2"/>
      <c r="F56" s="2"/>
      <c r="G56" s="2"/>
      <c r="H56" s="2"/>
      <c r="I56" s="2"/>
      <c r="J56" s="107" t="s">
        <v>308</v>
      </c>
    </row>
    <row r="57" spans="1:10" ht="60" x14ac:dyDescent="0.25">
      <c r="A57" s="73" t="s">
        <v>2020</v>
      </c>
      <c r="B57" s="2">
        <v>1</v>
      </c>
      <c r="C57" s="31" t="s">
        <v>1960</v>
      </c>
      <c r="D57" s="2"/>
      <c r="E57" s="2"/>
      <c r="F57" s="2"/>
      <c r="G57" s="2"/>
      <c r="H57" s="2"/>
      <c r="I57" s="2"/>
      <c r="J57" s="107" t="s">
        <v>308</v>
      </c>
    </row>
    <row r="58" spans="1:10" ht="60" x14ac:dyDescent="0.25">
      <c r="A58" s="73" t="s">
        <v>2021</v>
      </c>
      <c r="B58" s="2">
        <v>1</v>
      </c>
      <c r="C58" s="31" t="s">
        <v>1961</v>
      </c>
      <c r="D58" s="2"/>
      <c r="E58" s="2"/>
      <c r="F58" s="2"/>
      <c r="G58" s="2"/>
      <c r="H58" s="2"/>
      <c r="I58" s="2"/>
      <c r="J58" s="107" t="s">
        <v>308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"/>
  <sheetViews>
    <sheetView zoomScaleNormal="100" workbookViewId="0">
      <selection activeCell="C2" sqref="C2"/>
    </sheetView>
  </sheetViews>
  <sheetFormatPr defaultRowHeight="15" x14ac:dyDescent="0.25"/>
  <cols>
    <col min="1" max="1" width="5.140625" style="1" bestFit="1" customWidth="1" collapsed="1"/>
    <col min="2" max="2" width="8.7109375" style="1" bestFit="1" customWidth="1" collapsed="1"/>
    <col min="3" max="3" width="18.7109375" style="1" bestFit="1" customWidth="1" collapsed="1"/>
    <col min="4" max="16384" width="9.140625" style="1" collapsed="1"/>
  </cols>
  <sheetData>
    <row r="1" spans="1:5" x14ac:dyDescent="0.25">
      <c r="A1" s="35" t="s">
        <v>0</v>
      </c>
      <c r="B1" s="36" t="s">
        <v>18</v>
      </c>
      <c r="C1" s="36" t="s">
        <v>361</v>
      </c>
      <c r="D1" s="3"/>
      <c r="E1" s="3"/>
    </row>
    <row r="2" spans="1:5" x14ac:dyDescent="0.25">
      <c r="A2" s="37" t="s">
        <v>1</v>
      </c>
      <c r="B2" s="37">
        <v>1</v>
      </c>
      <c r="C2" s="38" t="s">
        <v>3</v>
      </c>
      <c r="D2" s="3"/>
      <c r="E2" s="3"/>
    </row>
    <row r="3" spans="1:5" x14ac:dyDescent="0.25">
      <c r="A3" s="37" t="s">
        <v>2</v>
      </c>
      <c r="B3" s="37">
        <v>1</v>
      </c>
      <c r="C3" s="38" t="s">
        <v>3</v>
      </c>
    </row>
    <row r="4" spans="1:5" x14ac:dyDescent="0.25">
      <c r="A4" s="37" t="s">
        <v>16</v>
      </c>
      <c r="B4" s="37">
        <v>1</v>
      </c>
      <c r="C4" s="38" t="s">
        <v>3</v>
      </c>
    </row>
    <row r="5" spans="1:5" x14ac:dyDescent="0.25">
      <c r="A5" s="37" t="s">
        <v>114</v>
      </c>
      <c r="B5" s="37">
        <v>1</v>
      </c>
      <c r="C5" s="38" t="s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65"/>
  <sheetViews>
    <sheetView topLeftCell="A39" zoomScaleNormal="100" workbookViewId="0">
      <selection activeCell="D63" sqref="D63"/>
    </sheetView>
  </sheetViews>
  <sheetFormatPr defaultRowHeight="15" x14ac:dyDescent="0.25"/>
  <cols>
    <col min="1" max="1" width="5.140625" style="1" bestFit="1" customWidth="1" collapsed="1"/>
    <col min="2" max="2" width="8.7109375" style="1" bestFit="1" customWidth="1" collapsed="1"/>
    <col min="3" max="3" width="18.7109375" style="1" bestFit="1" customWidth="1" collapsed="1"/>
    <col min="4" max="16384" width="9.140625" style="1" collapsed="1"/>
  </cols>
  <sheetData>
    <row r="1" spans="1:5" x14ac:dyDescent="0.25">
      <c r="A1" s="35" t="s">
        <v>0</v>
      </c>
      <c r="B1" s="36" t="s">
        <v>18</v>
      </c>
      <c r="C1" s="36" t="s">
        <v>361</v>
      </c>
      <c r="D1" s="3"/>
      <c r="E1" s="3"/>
    </row>
    <row r="2" spans="1:5" x14ac:dyDescent="0.25">
      <c r="A2" s="37" t="s">
        <v>1</v>
      </c>
      <c r="B2" s="37">
        <v>1</v>
      </c>
      <c r="C2" s="38" t="s">
        <v>3</v>
      </c>
      <c r="D2" s="3"/>
      <c r="E2" s="3"/>
    </row>
    <row r="3" spans="1:5" x14ac:dyDescent="0.25">
      <c r="A3" s="37" t="s">
        <v>2</v>
      </c>
      <c r="B3" s="37">
        <v>1</v>
      </c>
      <c r="C3" s="38" t="s">
        <v>3</v>
      </c>
    </row>
    <row r="4" spans="1:5" x14ac:dyDescent="0.25">
      <c r="A4" s="37" t="s">
        <v>16</v>
      </c>
      <c r="B4" s="37">
        <v>1</v>
      </c>
      <c r="C4" s="38" t="s">
        <v>3</v>
      </c>
    </row>
    <row r="5" spans="1:5" x14ac:dyDescent="0.25">
      <c r="A5" s="37" t="s">
        <v>114</v>
      </c>
      <c r="B5" s="37">
        <v>1</v>
      </c>
      <c r="C5" s="38" t="s">
        <v>3</v>
      </c>
    </row>
    <row r="6" spans="1:5" x14ac:dyDescent="0.25">
      <c r="A6" s="37" t="s">
        <v>132</v>
      </c>
      <c r="B6" s="37">
        <v>1</v>
      </c>
      <c r="C6" s="38" t="s">
        <v>3</v>
      </c>
    </row>
    <row r="7" spans="1:5" x14ac:dyDescent="0.25">
      <c r="A7" s="37" t="s">
        <v>123</v>
      </c>
      <c r="B7" s="37">
        <v>1</v>
      </c>
      <c r="C7" s="38" t="s">
        <v>3</v>
      </c>
    </row>
    <row r="8" spans="1:5" x14ac:dyDescent="0.25">
      <c r="A8" s="37" t="s">
        <v>134</v>
      </c>
      <c r="B8" s="37">
        <v>1</v>
      </c>
      <c r="C8" s="38" t="s">
        <v>3</v>
      </c>
    </row>
    <row r="9" spans="1:5" x14ac:dyDescent="0.25">
      <c r="A9" s="37" t="s">
        <v>135</v>
      </c>
      <c r="B9" s="37">
        <v>1</v>
      </c>
      <c r="C9" s="38" t="s">
        <v>3</v>
      </c>
    </row>
    <row r="10" spans="1:5" x14ac:dyDescent="0.25">
      <c r="A10" s="37" t="s">
        <v>136</v>
      </c>
      <c r="B10" s="37">
        <v>1</v>
      </c>
      <c r="C10" s="38" t="s">
        <v>3</v>
      </c>
    </row>
    <row r="11" spans="1:5" x14ac:dyDescent="0.25">
      <c r="A11" s="37" t="s">
        <v>157</v>
      </c>
      <c r="B11" s="37">
        <v>1</v>
      </c>
      <c r="C11" s="38" t="s">
        <v>3</v>
      </c>
    </row>
    <row r="12" spans="1:5" x14ac:dyDescent="0.25">
      <c r="A12" s="37" t="s">
        <v>172</v>
      </c>
      <c r="B12" s="37">
        <v>1</v>
      </c>
      <c r="C12" s="38" t="s">
        <v>3</v>
      </c>
    </row>
    <row r="13" spans="1:5" x14ac:dyDescent="0.25">
      <c r="A13" s="37" t="s">
        <v>181</v>
      </c>
      <c r="B13" s="37">
        <v>1</v>
      </c>
      <c r="C13" s="38" t="s">
        <v>3</v>
      </c>
    </row>
    <row r="14" spans="1:5" x14ac:dyDescent="0.25">
      <c r="A14" s="37" t="s">
        <v>185</v>
      </c>
      <c r="B14" s="37">
        <v>1</v>
      </c>
      <c r="C14" s="38" t="s">
        <v>3</v>
      </c>
    </row>
    <row r="15" spans="1:5" x14ac:dyDescent="0.25">
      <c r="A15" s="37" t="s">
        <v>187</v>
      </c>
      <c r="B15" s="37">
        <v>1</v>
      </c>
      <c r="C15" s="38" t="s">
        <v>3</v>
      </c>
    </row>
    <row r="16" spans="1:5" x14ac:dyDescent="0.25">
      <c r="A16" s="37" t="s">
        <v>188</v>
      </c>
      <c r="B16" s="37">
        <v>1</v>
      </c>
      <c r="C16" s="38" t="s">
        <v>3</v>
      </c>
    </row>
    <row r="17" spans="1:3" x14ac:dyDescent="0.25">
      <c r="A17" s="37" t="s">
        <v>189</v>
      </c>
      <c r="B17" s="37">
        <v>1</v>
      </c>
      <c r="C17" s="38" t="s">
        <v>3</v>
      </c>
    </row>
    <row r="18" spans="1:3" x14ac:dyDescent="0.25">
      <c r="A18" s="37" t="s">
        <v>190</v>
      </c>
      <c r="B18" s="37">
        <v>1</v>
      </c>
      <c r="C18" s="38" t="s">
        <v>3</v>
      </c>
    </row>
    <row r="19" spans="1:3" x14ac:dyDescent="0.25">
      <c r="A19" s="37" t="s">
        <v>191</v>
      </c>
      <c r="B19" s="37">
        <v>1</v>
      </c>
      <c r="C19" s="38" t="s">
        <v>3</v>
      </c>
    </row>
    <row r="20" spans="1:3" x14ac:dyDescent="0.25">
      <c r="A20" s="37" t="s">
        <v>192</v>
      </c>
      <c r="B20" s="37">
        <v>1</v>
      </c>
      <c r="C20" s="38" t="s">
        <v>3</v>
      </c>
    </row>
    <row r="21" spans="1:3" x14ac:dyDescent="0.25">
      <c r="A21" s="37" t="s">
        <v>911</v>
      </c>
      <c r="B21" s="37">
        <v>1</v>
      </c>
      <c r="C21" s="38" t="s">
        <v>3</v>
      </c>
    </row>
    <row r="22" spans="1:3" x14ac:dyDescent="0.25">
      <c r="A22" s="37" t="s">
        <v>912</v>
      </c>
      <c r="B22" s="37">
        <v>1</v>
      </c>
      <c r="C22" s="38" t="s">
        <v>3</v>
      </c>
    </row>
    <row r="23" spans="1:3" x14ac:dyDescent="0.25">
      <c r="A23" s="37" t="s">
        <v>913</v>
      </c>
      <c r="B23" s="37">
        <v>1</v>
      </c>
      <c r="C23" s="38" t="s">
        <v>3</v>
      </c>
    </row>
    <row r="24" spans="1:3" x14ac:dyDescent="0.25">
      <c r="A24" s="37" t="s">
        <v>914</v>
      </c>
      <c r="B24" s="37">
        <v>1</v>
      </c>
      <c r="C24" s="38" t="s">
        <v>3</v>
      </c>
    </row>
    <row r="25" spans="1:3" x14ac:dyDescent="0.25">
      <c r="A25" s="37" t="s">
        <v>872</v>
      </c>
      <c r="B25" s="37">
        <v>1</v>
      </c>
      <c r="C25" s="38" t="s">
        <v>3</v>
      </c>
    </row>
    <row r="26" spans="1:3" x14ac:dyDescent="0.25">
      <c r="A26" s="37" t="s">
        <v>869</v>
      </c>
      <c r="B26" s="37">
        <v>1</v>
      </c>
      <c r="C26" s="38" t="s">
        <v>3</v>
      </c>
    </row>
    <row r="27" spans="1:3" x14ac:dyDescent="0.25">
      <c r="A27" s="37" t="s">
        <v>918</v>
      </c>
      <c r="B27" s="37">
        <v>1</v>
      </c>
      <c r="C27" s="38" t="s">
        <v>3</v>
      </c>
    </row>
    <row r="28" spans="1:3" x14ac:dyDescent="0.25">
      <c r="A28" s="37" t="s">
        <v>919</v>
      </c>
      <c r="B28" s="37">
        <v>1</v>
      </c>
      <c r="C28" s="38" t="s">
        <v>3</v>
      </c>
    </row>
    <row r="29" spans="1:3" x14ac:dyDescent="0.25">
      <c r="A29" s="37" t="s">
        <v>920</v>
      </c>
      <c r="B29" s="37">
        <v>1</v>
      </c>
      <c r="C29" s="38" t="s">
        <v>3</v>
      </c>
    </row>
    <row r="30" spans="1:3" x14ac:dyDescent="0.25">
      <c r="A30" s="37" t="s">
        <v>921</v>
      </c>
      <c r="B30" s="37">
        <v>1</v>
      </c>
      <c r="C30" s="38" t="s">
        <v>3</v>
      </c>
    </row>
    <row r="31" spans="1:3" x14ac:dyDescent="0.25">
      <c r="A31" s="37" t="s">
        <v>922</v>
      </c>
      <c r="B31" s="37">
        <v>1</v>
      </c>
      <c r="C31" s="38" t="s">
        <v>3</v>
      </c>
    </row>
    <row r="32" spans="1:3" x14ac:dyDescent="0.25">
      <c r="A32" s="37" t="s">
        <v>1121</v>
      </c>
      <c r="B32" s="37">
        <v>1</v>
      </c>
      <c r="C32" s="38" t="s">
        <v>3</v>
      </c>
    </row>
    <row r="33" spans="1:3" x14ac:dyDescent="0.25">
      <c r="A33" s="37" t="s">
        <v>1122</v>
      </c>
      <c r="B33" s="37">
        <v>1</v>
      </c>
      <c r="C33" s="38" t="s">
        <v>3</v>
      </c>
    </row>
    <row r="34" spans="1:3" x14ac:dyDescent="0.25">
      <c r="A34" s="37" t="s">
        <v>1123</v>
      </c>
      <c r="B34" s="37">
        <v>1</v>
      </c>
      <c r="C34" s="38" t="s">
        <v>3</v>
      </c>
    </row>
    <row r="35" spans="1:3" x14ac:dyDescent="0.25">
      <c r="A35" s="37" t="s">
        <v>1157</v>
      </c>
      <c r="B35" s="37">
        <v>1</v>
      </c>
      <c r="C35" s="38" t="s">
        <v>3</v>
      </c>
    </row>
    <row r="36" spans="1:3" x14ac:dyDescent="0.25">
      <c r="A36" s="37" t="s">
        <v>1163</v>
      </c>
      <c r="B36" s="37">
        <v>1</v>
      </c>
      <c r="C36" s="38" t="s">
        <v>3</v>
      </c>
    </row>
    <row r="37" spans="1:3" x14ac:dyDescent="0.25">
      <c r="A37" s="37" t="s">
        <v>1164</v>
      </c>
      <c r="B37" s="37">
        <v>1</v>
      </c>
      <c r="C37" s="38" t="s">
        <v>3</v>
      </c>
    </row>
    <row r="38" spans="1:3" x14ac:dyDescent="0.25">
      <c r="A38" s="37" t="s">
        <v>1165</v>
      </c>
      <c r="B38" s="37">
        <v>1</v>
      </c>
      <c r="C38" s="38" t="s">
        <v>3</v>
      </c>
    </row>
    <row r="39" spans="1:3" x14ac:dyDescent="0.25">
      <c r="A39" s="37" t="s">
        <v>1166</v>
      </c>
      <c r="B39" s="37">
        <v>1</v>
      </c>
      <c r="C39" s="38" t="s">
        <v>3</v>
      </c>
    </row>
    <row r="40" spans="1:3" x14ac:dyDescent="0.25">
      <c r="A40" s="37" t="s">
        <v>1167</v>
      </c>
      <c r="B40" s="37">
        <v>1</v>
      </c>
      <c r="C40" s="38" t="s">
        <v>3</v>
      </c>
    </row>
    <row r="41" spans="1:3" x14ac:dyDescent="0.25">
      <c r="A41" s="37" t="s">
        <v>1168</v>
      </c>
      <c r="B41" s="37">
        <v>1</v>
      </c>
      <c r="C41" s="38" t="s">
        <v>3</v>
      </c>
    </row>
    <row r="42" spans="1:3" x14ac:dyDescent="0.25">
      <c r="A42" s="37" t="s">
        <v>1169</v>
      </c>
      <c r="B42" s="37">
        <v>1</v>
      </c>
      <c r="C42" s="38" t="s">
        <v>3</v>
      </c>
    </row>
    <row r="43" spans="1:3" x14ac:dyDescent="0.25">
      <c r="A43" s="37" t="s">
        <v>1170</v>
      </c>
      <c r="B43" s="37">
        <v>1</v>
      </c>
      <c r="C43" s="38" t="s">
        <v>3</v>
      </c>
    </row>
    <row r="44" spans="1:3" x14ac:dyDescent="0.25">
      <c r="A44" s="37" t="s">
        <v>1171</v>
      </c>
      <c r="B44" s="37">
        <v>1</v>
      </c>
      <c r="C44" s="38" t="s">
        <v>3</v>
      </c>
    </row>
    <row r="45" spans="1:3" x14ac:dyDescent="0.25">
      <c r="A45" s="37" t="s">
        <v>1172</v>
      </c>
      <c r="B45" s="37">
        <v>1</v>
      </c>
      <c r="C45" s="38" t="s">
        <v>3</v>
      </c>
    </row>
    <row r="46" spans="1:3" x14ac:dyDescent="0.25">
      <c r="A46" s="37" t="s">
        <v>1173</v>
      </c>
      <c r="B46" s="37">
        <v>1</v>
      </c>
      <c r="C46" s="38" t="s">
        <v>3</v>
      </c>
    </row>
    <row r="47" spans="1:3" x14ac:dyDescent="0.25">
      <c r="A47" s="37" t="s">
        <v>1227</v>
      </c>
      <c r="B47" s="37">
        <v>1</v>
      </c>
      <c r="C47" s="38" t="s">
        <v>3</v>
      </c>
    </row>
    <row r="48" spans="1:3" x14ac:dyDescent="0.25">
      <c r="A48" s="37" t="s">
        <v>1228</v>
      </c>
      <c r="B48" s="37">
        <v>1</v>
      </c>
      <c r="C48" s="38" t="s">
        <v>3</v>
      </c>
    </row>
    <row r="49" spans="1:3" x14ac:dyDescent="0.25">
      <c r="A49" s="37" t="s">
        <v>1229</v>
      </c>
      <c r="B49" s="37">
        <v>1</v>
      </c>
      <c r="C49" s="38" t="s">
        <v>3</v>
      </c>
    </row>
    <row r="50" spans="1:3" x14ac:dyDescent="0.25">
      <c r="A50" s="37" t="s">
        <v>1230</v>
      </c>
      <c r="B50" s="37">
        <v>1</v>
      </c>
      <c r="C50" s="38" t="s">
        <v>3</v>
      </c>
    </row>
    <row r="51" spans="1:3" x14ac:dyDescent="0.25">
      <c r="A51" s="37" t="s">
        <v>1231</v>
      </c>
      <c r="B51" s="37">
        <v>1</v>
      </c>
      <c r="C51" s="38" t="s">
        <v>3</v>
      </c>
    </row>
    <row r="52" spans="1:3" x14ac:dyDescent="0.25">
      <c r="A52" s="37" t="s">
        <v>1359</v>
      </c>
      <c r="B52" s="37">
        <v>1</v>
      </c>
      <c r="C52" s="38" t="s">
        <v>3</v>
      </c>
    </row>
    <row r="53" spans="1:3" x14ac:dyDescent="0.25">
      <c r="A53" s="37" t="s">
        <v>2016</v>
      </c>
      <c r="B53" s="37">
        <v>1</v>
      </c>
      <c r="C53" s="38" t="s">
        <v>3</v>
      </c>
    </row>
    <row r="54" spans="1:3" x14ac:dyDescent="0.25">
      <c r="A54" s="37" t="s">
        <v>2017</v>
      </c>
      <c r="B54" s="37">
        <v>1</v>
      </c>
      <c r="C54" s="38" t="s">
        <v>3</v>
      </c>
    </row>
    <row r="55" spans="1:3" x14ac:dyDescent="0.25">
      <c r="A55" s="37" t="s">
        <v>2018</v>
      </c>
      <c r="B55" s="37">
        <v>1</v>
      </c>
      <c r="C55" s="38" t="s">
        <v>3</v>
      </c>
    </row>
    <row r="56" spans="1:3" x14ac:dyDescent="0.25">
      <c r="A56" s="37" t="s">
        <v>2019</v>
      </c>
      <c r="B56" s="37">
        <v>1</v>
      </c>
      <c r="C56" s="38" t="s">
        <v>3</v>
      </c>
    </row>
    <row r="57" spans="1:3" x14ac:dyDescent="0.25">
      <c r="A57" s="37" t="s">
        <v>2020</v>
      </c>
      <c r="B57" s="37">
        <v>1</v>
      </c>
      <c r="C57" s="38" t="s">
        <v>3</v>
      </c>
    </row>
    <row r="58" spans="1:3" x14ac:dyDescent="0.25">
      <c r="A58" s="37" t="s">
        <v>2021</v>
      </c>
      <c r="B58" s="37">
        <v>1</v>
      </c>
      <c r="C58" s="38" t="s">
        <v>3</v>
      </c>
    </row>
    <row r="59" spans="1:3" x14ac:dyDescent="0.25">
      <c r="A59" s="37" t="s">
        <v>2022</v>
      </c>
      <c r="B59" s="37">
        <v>1</v>
      </c>
      <c r="C59" s="38" t="s">
        <v>3</v>
      </c>
    </row>
    <row r="60" spans="1:3" x14ac:dyDescent="0.25">
      <c r="A60" s="37" t="s">
        <v>2023</v>
      </c>
      <c r="B60" s="37">
        <v>1</v>
      </c>
      <c r="C60" s="38" t="s">
        <v>3</v>
      </c>
    </row>
    <row r="61" spans="1:3" x14ac:dyDescent="0.25">
      <c r="A61" s="37" t="s">
        <v>2024</v>
      </c>
      <c r="B61" s="37">
        <v>1</v>
      </c>
      <c r="C61" s="38" t="s">
        <v>3</v>
      </c>
    </row>
    <row r="62" spans="1:3" x14ac:dyDescent="0.25">
      <c r="A62" s="37" t="s">
        <v>2174</v>
      </c>
      <c r="B62" s="37">
        <v>1</v>
      </c>
      <c r="C62" s="38" t="s">
        <v>3</v>
      </c>
    </row>
    <row r="63" spans="1:3" x14ac:dyDescent="0.25">
      <c r="A63" s="37" t="s">
        <v>2175</v>
      </c>
      <c r="B63" s="37">
        <v>1</v>
      </c>
      <c r="C63" s="38" t="s">
        <v>3</v>
      </c>
    </row>
    <row r="64" spans="1:3" x14ac:dyDescent="0.25">
      <c r="A64" s="37" t="s">
        <v>2176</v>
      </c>
      <c r="B64" s="37">
        <v>1</v>
      </c>
      <c r="C64" s="38" t="s">
        <v>3</v>
      </c>
    </row>
    <row r="65" spans="1:3" x14ac:dyDescent="0.25">
      <c r="A65" s="37" t="s">
        <v>2177</v>
      </c>
      <c r="B65" s="37">
        <v>1</v>
      </c>
      <c r="C65" s="38" t="s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0"/>
  <sheetViews>
    <sheetView zoomScale="85" zoomScaleNormal="85" workbookViewId="0">
      <selection activeCell="F3" sqref="F3"/>
    </sheetView>
  </sheetViews>
  <sheetFormatPr defaultRowHeight="15" x14ac:dyDescent="0.25"/>
  <cols>
    <col min="1" max="1" width="8.140625" style="81" bestFit="1" customWidth="1" collapsed="1"/>
    <col min="2" max="2" width="8.7109375" style="81" bestFit="1" customWidth="1" collapsed="1"/>
    <col min="3" max="3" width="11.5703125" style="81" bestFit="1" customWidth="1" collapsed="1"/>
    <col min="4" max="4" width="18.42578125" style="81" bestFit="1" customWidth="1" collapsed="1"/>
    <col min="5" max="5" width="22.7109375" style="81" bestFit="1" customWidth="1" collapsed="1"/>
    <col min="6" max="6" width="28.7109375" style="81" bestFit="1" customWidth="1" collapsed="1"/>
    <col min="7" max="16384" width="9.140625" style="81" collapsed="1"/>
  </cols>
  <sheetData>
    <row r="1" spans="1:6" x14ac:dyDescent="0.25">
      <c r="A1" s="9" t="s">
        <v>0</v>
      </c>
      <c r="B1" s="5" t="s">
        <v>18</v>
      </c>
      <c r="C1" s="5" t="s">
        <v>947</v>
      </c>
      <c r="D1" s="5" t="s">
        <v>948</v>
      </c>
      <c r="E1" s="5" t="s">
        <v>949</v>
      </c>
      <c r="F1" s="9" t="s">
        <v>805</v>
      </c>
    </row>
    <row r="2" spans="1:6" x14ac:dyDescent="0.25">
      <c r="A2" s="4" t="s">
        <v>192</v>
      </c>
      <c r="B2" s="4">
        <v>1</v>
      </c>
      <c r="C2" s="4" t="s">
        <v>3</v>
      </c>
      <c r="D2" t="s">
        <v>1385</v>
      </c>
      <c r="E2" s="4" t="s">
        <v>3</v>
      </c>
      <c r="F2" s="4" t="s">
        <v>1386</v>
      </c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 s="4" t="s">
        <v>912</v>
      </c>
      <c r="B5" s="4">
        <v>1</v>
      </c>
      <c r="C5" s="4" t="s">
        <v>3</v>
      </c>
      <c r="D5" t="s">
        <v>980</v>
      </c>
      <c r="E5" s="4" t="s">
        <v>3</v>
      </c>
      <c r="F5" s="4" t="s">
        <v>950</v>
      </c>
    </row>
    <row r="6" spans="1:6" x14ac:dyDescent="0.25">
      <c r="A6" s="4" t="s">
        <v>913</v>
      </c>
      <c r="B6" s="4">
        <v>1</v>
      </c>
      <c r="C6" s="4" t="s">
        <v>3</v>
      </c>
      <c r="D6" t="s">
        <v>980</v>
      </c>
      <c r="E6" s="4" t="s">
        <v>3</v>
      </c>
      <c r="F6" s="4" t="s">
        <v>950</v>
      </c>
    </row>
    <row r="7" spans="1:6" x14ac:dyDescent="0.25">
      <c r="A7" s="4" t="s">
        <v>914</v>
      </c>
      <c r="B7" s="4">
        <v>1</v>
      </c>
      <c r="C7" s="4" t="s">
        <v>3</v>
      </c>
      <c r="D7" t="s">
        <v>980</v>
      </c>
      <c r="E7" s="4" t="s">
        <v>3</v>
      </c>
      <c r="F7" s="4" t="s">
        <v>950</v>
      </c>
    </row>
    <row r="8" spans="1:6" x14ac:dyDescent="0.25">
      <c r="A8" s="4" t="s">
        <v>872</v>
      </c>
      <c r="B8" s="4">
        <v>1</v>
      </c>
      <c r="C8" s="4" t="s">
        <v>3</v>
      </c>
      <c r="D8"/>
      <c r="E8" s="4" t="s">
        <v>3</v>
      </c>
      <c r="F8" s="4" t="s">
        <v>950</v>
      </c>
    </row>
    <row r="9" spans="1:6" x14ac:dyDescent="0.25">
      <c r="A9" s="4" t="s">
        <v>869</v>
      </c>
      <c r="B9" s="4">
        <v>1</v>
      </c>
      <c r="C9" s="4" t="s">
        <v>3</v>
      </c>
      <c r="D9" s="4">
        <f>D8</f>
        <v>0</v>
      </c>
      <c r="E9" s="4" t="s">
        <v>3</v>
      </c>
      <c r="F9" s="4" t="s">
        <v>950</v>
      </c>
    </row>
    <row r="10" spans="1:6" x14ac:dyDescent="0.25">
      <c r="A10" s="4" t="s">
        <v>918</v>
      </c>
      <c r="B10" s="4">
        <v>1</v>
      </c>
      <c r="C10" s="4" t="s">
        <v>3</v>
      </c>
      <c r="D10" s="4">
        <f>D9</f>
        <v>0</v>
      </c>
      <c r="E10" s="4" t="s">
        <v>3</v>
      </c>
      <c r="F10" s="4" t="s">
        <v>950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525"/>
  <sheetViews>
    <sheetView zoomScale="85" zoomScaleNormal="85" workbookViewId="0">
      <pane ySplit="1" topLeftCell="A416" activePane="bottomLeft" state="frozen"/>
      <selection pane="bottomLeft" activeCell="E442" sqref="E442"/>
    </sheetView>
  </sheetViews>
  <sheetFormatPr defaultRowHeight="15" x14ac:dyDescent="0.25"/>
  <cols>
    <col min="1" max="1" width="6.140625" style="41" bestFit="1" customWidth="1" collapsed="1"/>
    <col min="2" max="2" width="6.42578125" style="15" bestFit="1" customWidth="1" collapsed="1"/>
    <col min="3" max="3" width="9.7109375" style="15" bestFit="1" customWidth="1" collapsed="1"/>
    <col min="4" max="4" width="12.42578125" style="15" bestFit="1" customWidth="1" collapsed="1"/>
    <col min="5" max="5" width="32.5703125" style="15" bestFit="1" customWidth="1" collapsed="1"/>
    <col min="6" max="6" width="30.140625" style="15" bestFit="1" customWidth="1" collapsed="1"/>
    <col min="7" max="7" width="34.42578125" style="15" bestFit="1" customWidth="1" collapsed="1"/>
    <col min="8" max="8" width="24.42578125" style="15" bestFit="1" customWidth="1" collapsed="1"/>
    <col min="9" max="9" width="15.42578125" style="15" customWidth="1" collapsed="1"/>
    <col min="10" max="10" width="26.7109375" style="15" bestFit="1" customWidth="1" collapsed="1"/>
    <col min="11" max="11" width="16.140625" style="15" bestFit="1" customWidth="1" collapsed="1"/>
    <col min="12" max="12" width="15.42578125" style="15" customWidth="1" collapsed="1"/>
    <col min="13" max="13" width="18.7109375" style="15" bestFit="1" customWidth="1" collapsed="1"/>
    <col min="14" max="14" width="38.28515625" style="42" bestFit="1" customWidth="1" collapsed="1"/>
    <col min="15" max="256" width="9.140625" style="15" collapsed="1"/>
    <col min="257" max="257" width="5.140625" style="15" bestFit="1" customWidth="1" collapsed="1"/>
    <col min="258" max="258" width="6.42578125" style="15" bestFit="1" customWidth="1" collapsed="1"/>
    <col min="259" max="259" width="20.85546875" style="15" customWidth="1" collapsed="1"/>
    <col min="260" max="260" width="16.140625" style="15" bestFit="1" customWidth="1" collapsed="1"/>
    <col min="261" max="262" width="16.5703125" style="15" bestFit="1" customWidth="1" collapsed="1"/>
    <col min="263" max="263" width="16.140625" style="15" bestFit="1" customWidth="1" collapsed="1"/>
    <col min="264" max="264" width="15.42578125" style="15" customWidth="1" collapsed="1"/>
    <col min="265" max="265" width="15.5703125" style="15" customWidth="1" collapsed="1"/>
    <col min="266" max="266" width="16.140625" style="15" bestFit="1" customWidth="1" collapsed="1"/>
    <col min="267" max="267" width="15.42578125" style="15" customWidth="1" collapsed="1"/>
    <col min="268" max="268" width="14.140625" style="15" bestFit="1" customWidth="1" collapsed="1"/>
    <col min="269" max="269" width="54" style="15" customWidth="1" collapsed="1"/>
    <col min="270" max="270" width="31.7109375" style="15" customWidth="1" collapsed="1"/>
    <col min="271" max="512" width="9.140625" style="15" collapsed="1"/>
    <col min="513" max="513" width="5.140625" style="15" bestFit="1" customWidth="1" collapsed="1"/>
    <col min="514" max="514" width="6.42578125" style="15" bestFit="1" customWidth="1" collapsed="1"/>
    <col min="515" max="515" width="20.85546875" style="15" customWidth="1" collapsed="1"/>
    <col min="516" max="516" width="16.140625" style="15" bestFit="1" customWidth="1" collapsed="1"/>
    <col min="517" max="518" width="16.5703125" style="15" bestFit="1" customWidth="1" collapsed="1"/>
    <col min="519" max="519" width="16.140625" style="15" bestFit="1" customWidth="1" collapsed="1"/>
    <col min="520" max="520" width="15.42578125" style="15" customWidth="1" collapsed="1"/>
    <col min="521" max="521" width="15.5703125" style="15" customWidth="1" collapsed="1"/>
    <col min="522" max="522" width="16.140625" style="15" bestFit="1" customWidth="1" collapsed="1"/>
    <col min="523" max="523" width="15.42578125" style="15" customWidth="1" collapsed="1"/>
    <col min="524" max="524" width="14.140625" style="15" bestFit="1" customWidth="1" collapsed="1"/>
    <col min="525" max="525" width="54" style="15" customWidth="1" collapsed="1"/>
    <col min="526" max="526" width="31.7109375" style="15" customWidth="1" collapsed="1"/>
    <col min="527" max="768" width="9.140625" style="15" collapsed="1"/>
    <col min="769" max="769" width="5.140625" style="15" bestFit="1" customWidth="1" collapsed="1"/>
    <col min="770" max="770" width="6.42578125" style="15" bestFit="1" customWidth="1" collapsed="1"/>
    <col min="771" max="771" width="20.85546875" style="15" customWidth="1" collapsed="1"/>
    <col min="772" max="772" width="16.140625" style="15" bestFit="1" customWidth="1" collapsed="1"/>
    <col min="773" max="774" width="16.5703125" style="15" bestFit="1" customWidth="1" collapsed="1"/>
    <col min="775" max="775" width="16.140625" style="15" bestFit="1" customWidth="1" collapsed="1"/>
    <col min="776" max="776" width="15.42578125" style="15" customWidth="1" collapsed="1"/>
    <col min="777" max="777" width="15.5703125" style="15" customWidth="1" collapsed="1"/>
    <col min="778" max="778" width="16.140625" style="15" bestFit="1" customWidth="1" collapsed="1"/>
    <col min="779" max="779" width="15.42578125" style="15" customWidth="1" collapsed="1"/>
    <col min="780" max="780" width="14.140625" style="15" bestFit="1" customWidth="1" collapsed="1"/>
    <col min="781" max="781" width="54" style="15" customWidth="1" collapsed="1"/>
    <col min="782" max="782" width="31.7109375" style="15" customWidth="1" collapsed="1"/>
    <col min="783" max="1024" width="9.140625" style="15" collapsed="1"/>
    <col min="1025" max="1025" width="5.140625" style="15" bestFit="1" customWidth="1" collapsed="1"/>
    <col min="1026" max="1026" width="6.42578125" style="15" bestFit="1" customWidth="1" collapsed="1"/>
    <col min="1027" max="1027" width="20.85546875" style="15" customWidth="1" collapsed="1"/>
    <col min="1028" max="1028" width="16.140625" style="15" bestFit="1" customWidth="1" collapsed="1"/>
    <col min="1029" max="1030" width="16.5703125" style="15" bestFit="1" customWidth="1" collapsed="1"/>
    <col min="1031" max="1031" width="16.140625" style="15" bestFit="1" customWidth="1" collapsed="1"/>
    <col min="1032" max="1032" width="15.42578125" style="15" customWidth="1" collapsed="1"/>
    <col min="1033" max="1033" width="15.5703125" style="15" customWidth="1" collapsed="1"/>
    <col min="1034" max="1034" width="16.140625" style="15" bestFit="1" customWidth="1" collapsed="1"/>
    <col min="1035" max="1035" width="15.42578125" style="15" customWidth="1" collapsed="1"/>
    <col min="1036" max="1036" width="14.140625" style="15" bestFit="1" customWidth="1" collapsed="1"/>
    <col min="1037" max="1037" width="54" style="15" customWidth="1" collapsed="1"/>
    <col min="1038" max="1038" width="31.7109375" style="15" customWidth="1" collapsed="1"/>
    <col min="1039" max="1280" width="9.140625" style="15" collapsed="1"/>
    <col min="1281" max="1281" width="5.140625" style="15" bestFit="1" customWidth="1" collapsed="1"/>
    <col min="1282" max="1282" width="6.42578125" style="15" bestFit="1" customWidth="1" collapsed="1"/>
    <col min="1283" max="1283" width="20.85546875" style="15" customWidth="1" collapsed="1"/>
    <col min="1284" max="1284" width="16.140625" style="15" bestFit="1" customWidth="1" collapsed="1"/>
    <col min="1285" max="1286" width="16.5703125" style="15" bestFit="1" customWidth="1" collapsed="1"/>
    <col min="1287" max="1287" width="16.140625" style="15" bestFit="1" customWidth="1" collapsed="1"/>
    <col min="1288" max="1288" width="15.42578125" style="15" customWidth="1" collapsed="1"/>
    <col min="1289" max="1289" width="15.5703125" style="15" customWidth="1" collapsed="1"/>
    <col min="1290" max="1290" width="16.140625" style="15" bestFit="1" customWidth="1" collapsed="1"/>
    <col min="1291" max="1291" width="15.42578125" style="15" customWidth="1" collapsed="1"/>
    <col min="1292" max="1292" width="14.140625" style="15" bestFit="1" customWidth="1" collapsed="1"/>
    <col min="1293" max="1293" width="54" style="15" customWidth="1" collapsed="1"/>
    <col min="1294" max="1294" width="31.7109375" style="15" customWidth="1" collapsed="1"/>
    <col min="1295" max="1536" width="9.140625" style="15" collapsed="1"/>
    <col min="1537" max="1537" width="5.140625" style="15" bestFit="1" customWidth="1" collapsed="1"/>
    <col min="1538" max="1538" width="6.42578125" style="15" bestFit="1" customWidth="1" collapsed="1"/>
    <col min="1539" max="1539" width="20.85546875" style="15" customWidth="1" collapsed="1"/>
    <col min="1540" max="1540" width="16.140625" style="15" bestFit="1" customWidth="1" collapsed="1"/>
    <col min="1541" max="1542" width="16.5703125" style="15" bestFit="1" customWidth="1" collapsed="1"/>
    <col min="1543" max="1543" width="16.140625" style="15" bestFit="1" customWidth="1" collapsed="1"/>
    <col min="1544" max="1544" width="15.42578125" style="15" customWidth="1" collapsed="1"/>
    <col min="1545" max="1545" width="15.5703125" style="15" customWidth="1" collapsed="1"/>
    <col min="1546" max="1546" width="16.140625" style="15" bestFit="1" customWidth="1" collapsed="1"/>
    <col min="1547" max="1547" width="15.42578125" style="15" customWidth="1" collapsed="1"/>
    <col min="1548" max="1548" width="14.140625" style="15" bestFit="1" customWidth="1" collapsed="1"/>
    <col min="1549" max="1549" width="54" style="15" customWidth="1" collapsed="1"/>
    <col min="1550" max="1550" width="31.7109375" style="15" customWidth="1" collapsed="1"/>
    <col min="1551" max="1792" width="9.140625" style="15" collapsed="1"/>
    <col min="1793" max="1793" width="5.140625" style="15" bestFit="1" customWidth="1" collapsed="1"/>
    <col min="1794" max="1794" width="6.42578125" style="15" bestFit="1" customWidth="1" collapsed="1"/>
    <col min="1795" max="1795" width="20.85546875" style="15" customWidth="1" collapsed="1"/>
    <col min="1796" max="1796" width="16.140625" style="15" bestFit="1" customWidth="1" collapsed="1"/>
    <col min="1797" max="1798" width="16.5703125" style="15" bestFit="1" customWidth="1" collapsed="1"/>
    <col min="1799" max="1799" width="16.140625" style="15" bestFit="1" customWidth="1" collapsed="1"/>
    <col min="1800" max="1800" width="15.42578125" style="15" customWidth="1" collapsed="1"/>
    <col min="1801" max="1801" width="15.5703125" style="15" customWidth="1" collapsed="1"/>
    <col min="1802" max="1802" width="16.140625" style="15" bestFit="1" customWidth="1" collapsed="1"/>
    <col min="1803" max="1803" width="15.42578125" style="15" customWidth="1" collapsed="1"/>
    <col min="1804" max="1804" width="14.140625" style="15" bestFit="1" customWidth="1" collapsed="1"/>
    <col min="1805" max="1805" width="54" style="15" customWidth="1" collapsed="1"/>
    <col min="1806" max="1806" width="31.7109375" style="15" customWidth="1" collapsed="1"/>
    <col min="1807" max="2048" width="9.140625" style="15" collapsed="1"/>
    <col min="2049" max="2049" width="5.140625" style="15" bestFit="1" customWidth="1" collapsed="1"/>
    <col min="2050" max="2050" width="6.42578125" style="15" bestFit="1" customWidth="1" collapsed="1"/>
    <col min="2051" max="2051" width="20.85546875" style="15" customWidth="1" collapsed="1"/>
    <col min="2052" max="2052" width="16.140625" style="15" bestFit="1" customWidth="1" collapsed="1"/>
    <col min="2053" max="2054" width="16.5703125" style="15" bestFit="1" customWidth="1" collapsed="1"/>
    <col min="2055" max="2055" width="16.140625" style="15" bestFit="1" customWidth="1" collapsed="1"/>
    <col min="2056" max="2056" width="15.42578125" style="15" customWidth="1" collapsed="1"/>
    <col min="2057" max="2057" width="15.5703125" style="15" customWidth="1" collapsed="1"/>
    <col min="2058" max="2058" width="16.140625" style="15" bestFit="1" customWidth="1" collapsed="1"/>
    <col min="2059" max="2059" width="15.42578125" style="15" customWidth="1" collapsed="1"/>
    <col min="2060" max="2060" width="14.140625" style="15" bestFit="1" customWidth="1" collapsed="1"/>
    <col min="2061" max="2061" width="54" style="15" customWidth="1" collapsed="1"/>
    <col min="2062" max="2062" width="31.7109375" style="15" customWidth="1" collapsed="1"/>
    <col min="2063" max="2304" width="9.140625" style="15" collapsed="1"/>
    <col min="2305" max="2305" width="5.140625" style="15" bestFit="1" customWidth="1" collapsed="1"/>
    <col min="2306" max="2306" width="6.42578125" style="15" bestFit="1" customWidth="1" collapsed="1"/>
    <col min="2307" max="2307" width="20.85546875" style="15" customWidth="1" collapsed="1"/>
    <col min="2308" max="2308" width="16.140625" style="15" bestFit="1" customWidth="1" collapsed="1"/>
    <col min="2309" max="2310" width="16.5703125" style="15" bestFit="1" customWidth="1" collapsed="1"/>
    <col min="2311" max="2311" width="16.140625" style="15" bestFit="1" customWidth="1" collapsed="1"/>
    <col min="2312" max="2312" width="15.42578125" style="15" customWidth="1" collapsed="1"/>
    <col min="2313" max="2313" width="15.5703125" style="15" customWidth="1" collapsed="1"/>
    <col min="2314" max="2314" width="16.140625" style="15" bestFit="1" customWidth="1" collapsed="1"/>
    <col min="2315" max="2315" width="15.42578125" style="15" customWidth="1" collapsed="1"/>
    <col min="2316" max="2316" width="14.140625" style="15" bestFit="1" customWidth="1" collapsed="1"/>
    <col min="2317" max="2317" width="54" style="15" customWidth="1" collapsed="1"/>
    <col min="2318" max="2318" width="31.7109375" style="15" customWidth="1" collapsed="1"/>
    <col min="2319" max="2560" width="9.140625" style="15" collapsed="1"/>
    <col min="2561" max="2561" width="5.140625" style="15" bestFit="1" customWidth="1" collapsed="1"/>
    <col min="2562" max="2562" width="6.42578125" style="15" bestFit="1" customWidth="1" collapsed="1"/>
    <col min="2563" max="2563" width="20.85546875" style="15" customWidth="1" collapsed="1"/>
    <col min="2564" max="2564" width="16.140625" style="15" bestFit="1" customWidth="1" collapsed="1"/>
    <col min="2565" max="2566" width="16.5703125" style="15" bestFit="1" customWidth="1" collapsed="1"/>
    <col min="2567" max="2567" width="16.140625" style="15" bestFit="1" customWidth="1" collapsed="1"/>
    <col min="2568" max="2568" width="15.42578125" style="15" customWidth="1" collapsed="1"/>
    <col min="2569" max="2569" width="15.5703125" style="15" customWidth="1" collapsed="1"/>
    <col min="2570" max="2570" width="16.140625" style="15" bestFit="1" customWidth="1" collapsed="1"/>
    <col min="2571" max="2571" width="15.42578125" style="15" customWidth="1" collapsed="1"/>
    <col min="2572" max="2572" width="14.140625" style="15" bestFit="1" customWidth="1" collapsed="1"/>
    <col min="2573" max="2573" width="54" style="15" customWidth="1" collapsed="1"/>
    <col min="2574" max="2574" width="31.7109375" style="15" customWidth="1" collapsed="1"/>
    <col min="2575" max="2816" width="9.140625" style="15" collapsed="1"/>
    <col min="2817" max="2817" width="5.140625" style="15" bestFit="1" customWidth="1" collapsed="1"/>
    <col min="2818" max="2818" width="6.42578125" style="15" bestFit="1" customWidth="1" collapsed="1"/>
    <col min="2819" max="2819" width="20.85546875" style="15" customWidth="1" collapsed="1"/>
    <col min="2820" max="2820" width="16.140625" style="15" bestFit="1" customWidth="1" collapsed="1"/>
    <col min="2821" max="2822" width="16.5703125" style="15" bestFit="1" customWidth="1" collapsed="1"/>
    <col min="2823" max="2823" width="16.140625" style="15" bestFit="1" customWidth="1" collapsed="1"/>
    <col min="2824" max="2824" width="15.42578125" style="15" customWidth="1" collapsed="1"/>
    <col min="2825" max="2825" width="15.5703125" style="15" customWidth="1" collapsed="1"/>
    <col min="2826" max="2826" width="16.140625" style="15" bestFit="1" customWidth="1" collapsed="1"/>
    <col min="2827" max="2827" width="15.42578125" style="15" customWidth="1" collapsed="1"/>
    <col min="2828" max="2828" width="14.140625" style="15" bestFit="1" customWidth="1" collapsed="1"/>
    <col min="2829" max="2829" width="54" style="15" customWidth="1" collapsed="1"/>
    <col min="2830" max="2830" width="31.7109375" style="15" customWidth="1" collapsed="1"/>
    <col min="2831" max="3072" width="9.140625" style="15" collapsed="1"/>
    <col min="3073" max="3073" width="5.140625" style="15" bestFit="1" customWidth="1" collapsed="1"/>
    <col min="3074" max="3074" width="6.42578125" style="15" bestFit="1" customWidth="1" collapsed="1"/>
    <col min="3075" max="3075" width="20.85546875" style="15" customWidth="1" collapsed="1"/>
    <col min="3076" max="3076" width="16.140625" style="15" bestFit="1" customWidth="1" collapsed="1"/>
    <col min="3077" max="3078" width="16.5703125" style="15" bestFit="1" customWidth="1" collapsed="1"/>
    <col min="3079" max="3079" width="16.140625" style="15" bestFit="1" customWidth="1" collapsed="1"/>
    <col min="3080" max="3080" width="15.42578125" style="15" customWidth="1" collapsed="1"/>
    <col min="3081" max="3081" width="15.5703125" style="15" customWidth="1" collapsed="1"/>
    <col min="3082" max="3082" width="16.140625" style="15" bestFit="1" customWidth="1" collapsed="1"/>
    <col min="3083" max="3083" width="15.42578125" style="15" customWidth="1" collapsed="1"/>
    <col min="3084" max="3084" width="14.140625" style="15" bestFit="1" customWidth="1" collapsed="1"/>
    <col min="3085" max="3085" width="54" style="15" customWidth="1" collapsed="1"/>
    <col min="3086" max="3086" width="31.7109375" style="15" customWidth="1" collapsed="1"/>
    <col min="3087" max="3328" width="9.140625" style="15" collapsed="1"/>
    <col min="3329" max="3329" width="5.140625" style="15" bestFit="1" customWidth="1" collapsed="1"/>
    <col min="3330" max="3330" width="6.42578125" style="15" bestFit="1" customWidth="1" collapsed="1"/>
    <col min="3331" max="3331" width="20.85546875" style="15" customWidth="1" collapsed="1"/>
    <col min="3332" max="3332" width="16.140625" style="15" bestFit="1" customWidth="1" collapsed="1"/>
    <col min="3333" max="3334" width="16.5703125" style="15" bestFit="1" customWidth="1" collapsed="1"/>
    <col min="3335" max="3335" width="16.140625" style="15" bestFit="1" customWidth="1" collapsed="1"/>
    <col min="3336" max="3336" width="15.42578125" style="15" customWidth="1" collapsed="1"/>
    <col min="3337" max="3337" width="15.5703125" style="15" customWidth="1" collapsed="1"/>
    <col min="3338" max="3338" width="16.140625" style="15" bestFit="1" customWidth="1" collapsed="1"/>
    <col min="3339" max="3339" width="15.42578125" style="15" customWidth="1" collapsed="1"/>
    <col min="3340" max="3340" width="14.140625" style="15" bestFit="1" customWidth="1" collapsed="1"/>
    <col min="3341" max="3341" width="54" style="15" customWidth="1" collapsed="1"/>
    <col min="3342" max="3342" width="31.7109375" style="15" customWidth="1" collapsed="1"/>
    <col min="3343" max="3584" width="9.140625" style="15" collapsed="1"/>
    <col min="3585" max="3585" width="5.140625" style="15" bestFit="1" customWidth="1" collapsed="1"/>
    <col min="3586" max="3586" width="6.42578125" style="15" bestFit="1" customWidth="1" collapsed="1"/>
    <col min="3587" max="3587" width="20.85546875" style="15" customWidth="1" collapsed="1"/>
    <col min="3588" max="3588" width="16.140625" style="15" bestFit="1" customWidth="1" collapsed="1"/>
    <col min="3589" max="3590" width="16.5703125" style="15" bestFit="1" customWidth="1" collapsed="1"/>
    <col min="3591" max="3591" width="16.140625" style="15" bestFit="1" customWidth="1" collapsed="1"/>
    <col min="3592" max="3592" width="15.42578125" style="15" customWidth="1" collapsed="1"/>
    <col min="3593" max="3593" width="15.5703125" style="15" customWidth="1" collapsed="1"/>
    <col min="3594" max="3594" width="16.140625" style="15" bestFit="1" customWidth="1" collapsed="1"/>
    <col min="3595" max="3595" width="15.42578125" style="15" customWidth="1" collapsed="1"/>
    <col min="3596" max="3596" width="14.140625" style="15" bestFit="1" customWidth="1" collapsed="1"/>
    <col min="3597" max="3597" width="54" style="15" customWidth="1" collapsed="1"/>
    <col min="3598" max="3598" width="31.7109375" style="15" customWidth="1" collapsed="1"/>
    <col min="3599" max="3840" width="9.140625" style="15" collapsed="1"/>
    <col min="3841" max="3841" width="5.140625" style="15" bestFit="1" customWidth="1" collapsed="1"/>
    <col min="3842" max="3842" width="6.42578125" style="15" bestFit="1" customWidth="1" collapsed="1"/>
    <col min="3843" max="3843" width="20.85546875" style="15" customWidth="1" collapsed="1"/>
    <col min="3844" max="3844" width="16.140625" style="15" bestFit="1" customWidth="1" collapsed="1"/>
    <col min="3845" max="3846" width="16.5703125" style="15" bestFit="1" customWidth="1" collapsed="1"/>
    <col min="3847" max="3847" width="16.140625" style="15" bestFit="1" customWidth="1" collapsed="1"/>
    <col min="3848" max="3848" width="15.42578125" style="15" customWidth="1" collapsed="1"/>
    <col min="3849" max="3849" width="15.5703125" style="15" customWidth="1" collapsed="1"/>
    <col min="3850" max="3850" width="16.140625" style="15" bestFit="1" customWidth="1" collapsed="1"/>
    <col min="3851" max="3851" width="15.42578125" style="15" customWidth="1" collapsed="1"/>
    <col min="3852" max="3852" width="14.140625" style="15" bestFit="1" customWidth="1" collapsed="1"/>
    <col min="3853" max="3853" width="54" style="15" customWidth="1" collapsed="1"/>
    <col min="3854" max="3854" width="31.7109375" style="15" customWidth="1" collapsed="1"/>
    <col min="3855" max="4096" width="9.140625" style="15" collapsed="1"/>
    <col min="4097" max="4097" width="5.140625" style="15" bestFit="1" customWidth="1" collapsed="1"/>
    <col min="4098" max="4098" width="6.42578125" style="15" bestFit="1" customWidth="1" collapsed="1"/>
    <col min="4099" max="4099" width="20.85546875" style="15" customWidth="1" collapsed="1"/>
    <col min="4100" max="4100" width="16.140625" style="15" bestFit="1" customWidth="1" collapsed="1"/>
    <col min="4101" max="4102" width="16.5703125" style="15" bestFit="1" customWidth="1" collapsed="1"/>
    <col min="4103" max="4103" width="16.140625" style="15" bestFit="1" customWidth="1" collapsed="1"/>
    <col min="4104" max="4104" width="15.42578125" style="15" customWidth="1" collapsed="1"/>
    <col min="4105" max="4105" width="15.5703125" style="15" customWidth="1" collapsed="1"/>
    <col min="4106" max="4106" width="16.140625" style="15" bestFit="1" customWidth="1" collapsed="1"/>
    <col min="4107" max="4107" width="15.42578125" style="15" customWidth="1" collapsed="1"/>
    <col min="4108" max="4108" width="14.140625" style="15" bestFit="1" customWidth="1" collapsed="1"/>
    <col min="4109" max="4109" width="54" style="15" customWidth="1" collapsed="1"/>
    <col min="4110" max="4110" width="31.7109375" style="15" customWidth="1" collapsed="1"/>
    <col min="4111" max="4352" width="9.140625" style="15" collapsed="1"/>
    <col min="4353" max="4353" width="5.140625" style="15" bestFit="1" customWidth="1" collapsed="1"/>
    <col min="4354" max="4354" width="6.42578125" style="15" bestFit="1" customWidth="1" collapsed="1"/>
    <col min="4355" max="4355" width="20.85546875" style="15" customWidth="1" collapsed="1"/>
    <col min="4356" max="4356" width="16.140625" style="15" bestFit="1" customWidth="1" collapsed="1"/>
    <col min="4357" max="4358" width="16.5703125" style="15" bestFit="1" customWidth="1" collapsed="1"/>
    <col min="4359" max="4359" width="16.140625" style="15" bestFit="1" customWidth="1" collapsed="1"/>
    <col min="4360" max="4360" width="15.42578125" style="15" customWidth="1" collapsed="1"/>
    <col min="4361" max="4361" width="15.5703125" style="15" customWidth="1" collapsed="1"/>
    <col min="4362" max="4362" width="16.140625" style="15" bestFit="1" customWidth="1" collapsed="1"/>
    <col min="4363" max="4363" width="15.42578125" style="15" customWidth="1" collapsed="1"/>
    <col min="4364" max="4364" width="14.140625" style="15" bestFit="1" customWidth="1" collapsed="1"/>
    <col min="4365" max="4365" width="54" style="15" customWidth="1" collapsed="1"/>
    <col min="4366" max="4366" width="31.7109375" style="15" customWidth="1" collapsed="1"/>
    <col min="4367" max="4608" width="9.140625" style="15" collapsed="1"/>
    <col min="4609" max="4609" width="5.140625" style="15" bestFit="1" customWidth="1" collapsed="1"/>
    <col min="4610" max="4610" width="6.42578125" style="15" bestFit="1" customWidth="1" collapsed="1"/>
    <col min="4611" max="4611" width="20.85546875" style="15" customWidth="1" collapsed="1"/>
    <col min="4612" max="4612" width="16.140625" style="15" bestFit="1" customWidth="1" collapsed="1"/>
    <col min="4613" max="4614" width="16.5703125" style="15" bestFit="1" customWidth="1" collapsed="1"/>
    <col min="4615" max="4615" width="16.140625" style="15" bestFit="1" customWidth="1" collapsed="1"/>
    <col min="4616" max="4616" width="15.42578125" style="15" customWidth="1" collapsed="1"/>
    <col min="4617" max="4617" width="15.5703125" style="15" customWidth="1" collapsed="1"/>
    <col min="4618" max="4618" width="16.140625" style="15" bestFit="1" customWidth="1" collapsed="1"/>
    <col min="4619" max="4619" width="15.42578125" style="15" customWidth="1" collapsed="1"/>
    <col min="4620" max="4620" width="14.140625" style="15" bestFit="1" customWidth="1" collapsed="1"/>
    <col min="4621" max="4621" width="54" style="15" customWidth="1" collapsed="1"/>
    <col min="4622" max="4622" width="31.7109375" style="15" customWidth="1" collapsed="1"/>
    <col min="4623" max="4864" width="9.140625" style="15" collapsed="1"/>
    <col min="4865" max="4865" width="5.140625" style="15" bestFit="1" customWidth="1" collapsed="1"/>
    <col min="4866" max="4866" width="6.42578125" style="15" bestFit="1" customWidth="1" collapsed="1"/>
    <col min="4867" max="4867" width="20.85546875" style="15" customWidth="1" collapsed="1"/>
    <col min="4868" max="4868" width="16.140625" style="15" bestFit="1" customWidth="1" collapsed="1"/>
    <col min="4869" max="4870" width="16.5703125" style="15" bestFit="1" customWidth="1" collapsed="1"/>
    <col min="4871" max="4871" width="16.140625" style="15" bestFit="1" customWidth="1" collapsed="1"/>
    <col min="4872" max="4872" width="15.42578125" style="15" customWidth="1" collapsed="1"/>
    <col min="4873" max="4873" width="15.5703125" style="15" customWidth="1" collapsed="1"/>
    <col min="4874" max="4874" width="16.140625" style="15" bestFit="1" customWidth="1" collapsed="1"/>
    <col min="4875" max="4875" width="15.42578125" style="15" customWidth="1" collapsed="1"/>
    <col min="4876" max="4876" width="14.140625" style="15" bestFit="1" customWidth="1" collapsed="1"/>
    <col min="4877" max="4877" width="54" style="15" customWidth="1" collapsed="1"/>
    <col min="4878" max="4878" width="31.7109375" style="15" customWidth="1" collapsed="1"/>
    <col min="4879" max="5120" width="9.140625" style="15" collapsed="1"/>
    <col min="5121" max="5121" width="5.140625" style="15" bestFit="1" customWidth="1" collapsed="1"/>
    <col min="5122" max="5122" width="6.42578125" style="15" bestFit="1" customWidth="1" collapsed="1"/>
    <col min="5123" max="5123" width="20.85546875" style="15" customWidth="1" collapsed="1"/>
    <col min="5124" max="5124" width="16.140625" style="15" bestFit="1" customWidth="1" collapsed="1"/>
    <col min="5125" max="5126" width="16.5703125" style="15" bestFit="1" customWidth="1" collapsed="1"/>
    <col min="5127" max="5127" width="16.140625" style="15" bestFit="1" customWidth="1" collapsed="1"/>
    <col min="5128" max="5128" width="15.42578125" style="15" customWidth="1" collapsed="1"/>
    <col min="5129" max="5129" width="15.5703125" style="15" customWidth="1" collapsed="1"/>
    <col min="5130" max="5130" width="16.140625" style="15" bestFit="1" customWidth="1" collapsed="1"/>
    <col min="5131" max="5131" width="15.42578125" style="15" customWidth="1" collapsed="1"/>
    <col min="5132" max="5132" width="14.140625" style="15" bestFit="1" customWidth="1" collapsed="1"/>
    <col min="5133" max="5133" width="54" style="15" customWidth="1" collapsed="1"/>
    <col min="5134" max="5134" width="31.7109375" style="15" customWidth="1" collapsed="1"/>
    <col min="5135" max="5376" width="9.140625" style="15" collapsed="1"/>
    <col min="5377" max="5377" width="5.140625" style="15" bestFit="1" customWidth="1" collapsed="1"/>
    <col min="5378" max="5378" width="6.42578125" style="15" bestFit="1" customWidth="1" collapsed="1"/>
    <col min="5379" max="5379" width="20.85546875" style="15" customWidth="1" collapsed="1"/>
    <col min="5380" max="5380" width="16.140625" style="15" bestFit="1" customWidth="1" collapsed="1"/>
    <col min="5381" max="5382" width="16.5703125" style="15" bestFit="1" customWidth="1" collapsed="1"/>
    <col min="5383" max="5383" width="16.140625" style="15" bestFit="1" customWidth="1" collapsed="1"/>
    <col min="5384" max="5384" width="15.42578125" style="15" customWidth="1" collapsed="1"/>
    <col min="5385" max="5385" width="15.5703125" style="15" customWidth="1" collapsed="1"/>
    <col min="5386" max="5386" width="16.140625" style="15" bestFit="1" customWidth="1" collapsed="1"/>
    <col min="5387" max="5387" width="15.42578125" style="15" customWidth="1" collapsed="1"/>
    <col min="5388" max="5388" width="14.140625" style="15" bestFit="1" customWidth="1" collapsed="1"/>
    <col min="5389" max="5389" width="54" style="15" customWidth="1" collapsed="1"/>
    <col min="5390" max="5390" width="31.7109375" style="15" customWidth="1" collapsed="1"/>
    <col min="5391" max="5632" width="9.140625" style="15" collapsed="1"/>
    <col min="5633" max="5633" width="5.140625" style="15" bestFit="1" customWidth="1" collapsed="1"/>
    <col min="5634" max="5634" width="6.42578125" style="15" bestFit="1" customWidth="1" collapsed="1"/>
    <col min="5635" max="5635" width="20.85546875" style="15" customWidth="1" collapsed="1"/>
    <col min="5636" max="5636" width="16.140625" style="15" bestFit="1" customWidth="1" collapsed="1"/>
    <col min="5637" max="5638" width="16.5703125" style="15" bestFit="1" customWidth="1" collapsed="1"/>
    <col min="5639" max="5639" width="16.140625" style="15" bestFit="1" customWidth="1" collapsed="1"/>
    <col min="5640" max="5640" width="15.42578125" style="15" customWidth="1" collapsed="1"/>
    <col min="5641" max="5641" width="15.5703125" style="15" customWidth="1" collapsed="1"/>
    <col min="5642" max="5642" width="16.140625" style="15" bestFit="1" customWidth="1" collapsed="1"/>
    <col min="5643" max="5643" width="15.42578125" style="15" customWidth="1" collapsed="1"/>
    <col min="5644" max="5644" width="14.140625" style="15" bestFit="1" customWidth="1" collapsed="1"/>
    <col min="5645" max="5645" width="54" style="15" customWidth="1" collapsed="1"/>
    <col min="5646" max="5646" width="31.7109375" style="15" customWidth="1" collapsed="1"/>
    <col min="5647" max="5888" width="9.140625" style="15" collapsed="1"/>
    <col min="5889" max="5889" width="5.140625" style="15" bestFit="1" customWidth="1" collapsed="1"/>
    <col min="5890" max="5890" width="6.42578125" style="15" bestFit="1" customWidth="1" collapsed="1"/>
    <col min="5891" max="5891" width="20.85546875" style="15" customWidth="1" collapsed="1"/>
    <col min="5892" max="5892" width="16.140625" style="15" bestFit="1" customWidth="1" collapsed="1"/>
    <col min="5893" max="5894" width="16.5703125" style="15" bestFit="1" customWidth="1" collapsed="1"/>
    <col min="5895" max="5895" width="16.140625" style="15" bestFit="1" customWidth="1" collapsed="1"/>
    <col min="5896" max="5896" width="15.42578125" style="15" customWidth="1" collapsed="1"/>
    <col min="5897" max="5897" width="15.5703125" style="15" customWidth="1" collapsed="1"/>
    <col min="5898" max="5898" width="16.140625" style="15" bestFit="1" customWidth="1" collapsed="1"/>
    <col min="5899" max="5899" width="15.42578125" style="15" customWidth="1" collapsed="1"/>
    <col min="5900" max="5900" width="14.140625" style="15" bestFit="1" customWidth="1" collapsed="1"/>
    <col min="5901" max="5901" width="54" style="15" customWidth="1" collapsed="1"/>
    <col min="5902" max="5902" width="31.7109375" style="15" customWidth="1" collapsed="1"/>
    <col min="5903" max="6144" width="9.140625" style="15" collapsed="1"/>
    <col min="6145" max="6145" width="5.140625" style="15" bestFit="1" customWidth="1" collapsed="1"/>
    <col min="6146" max="6146" width="6.42578125" style="15" bestFit="1" customWidth="1" collapsed="1"/>
    <col min="6147" max="6147" width="20.85546875" style="15" customWidth="1" collapsed="1"/>
    <col min="6148" max="6148" width="16.140625" style="15" bestFit="1" customWidth="1" collapsed="1"/>
    <col min="6149" max="6150" width="16.5703125" style="15" bestFit="1" customWidth="1" collapsed="1"/>
    <col min="6151" max="6151" width="16.140625" style="15" bestFit="1" customWidth="1" collapsed="1"/>
    <col min="6152" max="6152" width="15.42578125" style="15" customWidth="1" collapsed="1"/>
    <col min="6153" max="6153" width="15.5703125" style="15" customWidth="1" collapsed="1"/>
    <col min="6154" max="6154" width="16.140625" style="15" bestFit="1" customWidth="1" collapsed="1"/>
    <col min="6155" max="6155" width="15.42578125" style="15" customWidth="1" collapsed="1"/>
    <col min="6156" max="6156" width="14.140625" style="15" bestFit="1" customWidth="1" collapsed="1"/>
    <col min="6157" max="6157" width="54" style="15" customWidth="1" collapsed="1"/>
    <col min="6158" max="6158" width="31.7109375" style="15" customWidth="1" collapsed="1"/>
    <col min="6159" max="6400" width="9.140625" style="15" collapsed="1"/>
    <col min="6401" max="6401" width="5.140625" style="15" bestFit="1" customWidth="1" collapsed="1"/>
    <col min="6402" max="6402" width="6.42578125" style="15" bestFit="1" customWidth="1" collapsed="1"/>
    <col min="6403" max="6403" width="20.85546875" style="15" customWidth="1" collapsed="1"/>
    <col min="6404" max="6404" width="16.140625" style="15" bestFit="1" customWidth="1" collapsed="1"/>
    <col min="6405" max="6406" width="16.5703125" style="15" bestFit="1" customWidth="1" collapsed="1"/>
    <col min="6407" max="6407" width="16.140625" style="15" bestFit="1" customWidth="1" collapsed="1"/>
    <col min="6408" max="6408" width="15.42578125" style="15" customWidth="1" collapsed="1"/>
    <col min="6409" max="6409" width="15.5703125" style="15" customWidth="1" collapsed="1"/>
    <col min="6410" max="6410" width="16.140625" style="15" bestFit="1" customWidth="1" collapsed="1"/>
    <col min="6411" max="6411" width="15.42578125" style="15" customWidth="1" collapsed="1"/>
    <col min="6412" max="6412" width="14.140625" style="15" bestFit="1" customWidth="1" collapsed="1"/>
    <col min="6413" max="6413" width="54" style="15" customWidth="1" collapsed="1"/>
    <col min="6414" max="6414" width="31.7109375" style="15" customWidth="1" collapsed="1"/>
    <col min="6415" max="6656" width="9.140625" style="15" collapsed="1"/>
    <col min="6657" max="6657" width="5.140625" style="15" bestFit="1" customWidth="1" collapsed="1"/>
    <col min="6658" max="6658" width="6.42578125" style="15" bestFit="1" customWidth="1" collapsed="1"/>
    <col min="6659" max="6659" width="20.85546875" style="15" customWidth="1" collapsed="1"/>
    <col min="6660" max="6660" width="16.140625" style="15" bestFit="1" customWidth="1" collapsed="1"/>
    <col min="6661" max="6662" width="16.5703125" style="15" bestFit="1" customWidth="1" collapsed="1"/>
    <col min="6663" max="6663" width="16.140625" style="15" bestFit="1" customWidth="1" collapsed="1"/>
    <col min="6664" max="6664" width="15.42578125" style="15" customWidth="1" collapsed="1"/>
    <col min="6665" max="6665" width="15.5703125" style="15" customWidth="1" collapsed="1"/>
    <col min="6666" max="6666" width="16.140625" style="15" bestFit="1" customWidth="1" collapsed="1"/>
    <col min="6667" max="6667" width="15.42578125" style="15" customWidth="1" collapsed="1"/>
    <col min="6668" max="6668" width="14.140625" style="15" bestFit="1" customWidth="1" collapsed="1"/>
    <col min="6669" max="6669" width="54" style="15" customWidth="1" collapsed="1"/>
    <col min="6670" max="6670" width="31.7109375" style="15" customWidth="1" collapsed="1"/>
    <col min="6671" max="6912" width="9.140625" style="15" collapsed="1"/>
    <col min="6913" max="6913" width="5.140625" style="15" bestFit="1" customWidth="1" collapsed="1"/>
    <col min="6914" max="6914" width="6.42578125" style="15" bestFit="1" customWidth="1" collapsed="1"/>
    <col min="6915" max="6915" width="20.85546875" style="15" customWidth="1" collapsed="1"/>
    <col min="6916" max="6916" width="16.140625" style="15" bestFit="1" customWidth="1" collapsed="1"/>
    <col min="6917" max="6918" width="16.5703125" style="15" bestFit="1" customWidth="1" collapsed="1"/>
    <col min="6919" max="6919" width="16.140625" style="15" bestFit="1" customWidth="1" collapsed="1"/>
    <col min="6920" max="6920" width="15.42578125" style="15" customWidth="1" collapsed="1"/>
    <col min="6921" max="6921" width="15.5703125" style="15" customWidth="1" collapsed="1"/>
    <col min="6922" max="6922" width="16.140625" style="15" bestFit="1" customWidth="1" collapsed="1"/>
    <col min="6923" max="6923" width="15.42578125" style="15" customWidth="1" collapsed="1"/>
    <col min="6924" max="6924" width="14.140625" style="15" bestFit="1" customWidth="1" collapsed="1"/>
    <col min="6925" max="6925" width="54" style="15" customWidth="1" collapsed="1"/>
    <col min="6926" max="6926" width="31.7109375" style="15" customWidth="1" collapsed="1"/>
    <col min="6927" max="7168" width="9.140625" style="15" collapsed="1"/>
    <col min="7169" max="7169" width="5.140625" style="15" bestFit="1" customWidth="1" collapsed="1"/>
    <col min="7170" max="7170" width="6.42578125" style="15" bestFit="1" customWidth="1" collapsed="1"/>
    <col min="7171" max="7171" width="20.85546875" style="15" customWidth="1" collapsed="1"/>
    <col min="7172" max="7172" width="16.140625" style="15" bestFit="1" customWidth="1" collapsed="1"/>
    <col min="7173" max="7174" width="16.5703125" style="15" bestFit="1" customWidth="1" collapsed="1"/>
    <col min="7175" max="7175" width="16.140625" style="15" bestFit="1" customWidth="1" collapsed="1"/>
    <col min="7176" max="7176" width="15.42578125" style="15" customWidth="1" collapsed="1"/>
    <col min="7177" max="7177" width="15.5703125" style="15" customWidth="1" collapsed="1"/>
    <col min="7178" max="7178" width="16.140625" style="15" bestFit="1" customWidth="1" collapsed="1"/>
    <col min="7179" max="7179" width="15.42578125" style="15" customWidth="1" collapsed="1"/>
    <col min="7180" max="7180" width="14.140625" style="15" bestFit="1" customWidth="1" collapsed="1"/>
    <col min="7181" max="7181" width="54" style="15" customWidth="1" collapsed="1"/>
    <col min="7182" max="7182" width="31.7109375" style="15" customWidth="1" collapsed="1"/>
    <col min="7183" max="7424" width="9.140625" style="15" collapsed="1"/>
    <col min="7425" max="7425" width="5.140625" style="15" bestFit="1" customWidth="1" collapsed="1"/>
    <col min="7426" max="7426" width="6.42578125" style="15" bestFit="1" customWidth="1" collapsed="1"/>
    <col min="7427" max="7427" width="20.85546875" style="15" customWidth="1" collapsed="1"/>
    <col min="7428" max="7428" width="16.140625" style="15" bestFit="1" customWidth="1" collapsed="1"/>
    <col min="7429" max="7430" width="16.5703125" style="15" bestFit="1" customWidth="1" collapsed="1"/>
    <col min="7431" max="7431" width="16.140625" style="15" bestFit="1" customWidth="1" collapsed="1"/>
    <col min="7432" max="7432" width="15.42578125" style="15" customWidth="1" collapsed="1"/>
    <col min="7433" max="7433" width="15.5703125" style="15" customWidth="1" collapsed="1"/>
    <col min="7434" max="7434" width="16.140625" style="15" bestFit="1" customWidth="1" collapsed="1"/>
    <col min="7435" max="7435" width="15.42578125" style="15" customWidth="1" collapsed="1"/>
    <col min="7436" max="7436" width="14.140625" style="15" bestFit="1" customWidth="1" collapsed="1"/>
    <col min="7437" max="7437" width="54" style="15" customWidth="1" collapsed="1"/>
    <col min="7438" max="7438" width="31.7109375" style="15" customWidth="1" collapsed="1"/>
    <col min="7439" max="7680" width="9.140625" style="15" collapsed="1"/>
    <col min="7681" max="7681" width="5.140625" style="15" bestFit="1" customWidth="1" collapsed="1"/>
    <col min="7682" max="7682" width="6.42578125" style="15" bestFit="1" customWidth="1" collapsed="1"/>
    <col min="7683" max="7683" width="20.85546875" style="15" customWidth="1" collapsed="1"/>
    <col min="7684" max="7684" width="16.140625" style="15" bestFit="1" customWidth="1" collapsed="1"/>
    <col min="7685" max="7686" width="16.5703125" style="15" bestFit="1" customWidth="1" collapsed="1"/>
    <col min="7687" max="7687" width="16.140625" style="15" bestFit="1" customWidth="1" collapsed="1"/>
    <col min="7688" max="7688" width="15.42578125" style="15" customWidth="1" collapsed="1"/>
    <col min="7689" max="7689" width="15.5703125" style="15" customWidth="1" collapsed="1"/>
    <col min="7690" max="7690" width="16.140625" style="15" bestFit="1" customWidth="1" collapsed="1"/>
    <col min="7691" max="7691" width="15.42578125" style="15" customWidth="1" collapsed="1"/>
    <col min="7692" max="7692" width="14.140625" style="15" bestFit="1" customWidth="1" collapsed="1"/>
    <col min="7693" max="7693" width="54" style="15" customWidth="1" collapsed="1"/>
    <col min="7694" max="7694" width="31.7109375" style="15" customWidth="1" collapsed="1"/>
    <col min="7695" max="7936" width="9.140625" style="15" collapsed="1"/>
    <col min="7937" max="7937" width="5.140625" style="15" bestFit="1" customWidth="1" collapsed="1"/>
    <col min="7938" max="7938" width="6.42578125" style="15" bestFit="1" customWidth="1" collapsed="1"/>
    <col min="7939" max="7939" width="20.85546875" style="15" customWidth="1" collapsed="1"/>
    <col min="7940" max="7940" width="16.140625" style="15" bestFit="1" customWidth="1" collapsed="1"/>
    <col min="7941" max="7942" width="16.5703125" style="15" bestFit="1" customWidth="1" collapsed="1"/>
    <col min="7943" max="7943" width="16.140625" style="15" bestFit="1" customWidth="1" collapsed="1"/>
    <col min="7944" max="7944" width="15.42578125" style="15" customWidth="1" collapsed="1"/>
    <col min="7945" max="7945" width="15.5703125" style="15" customWidth="1" collapsed="1"/>
    <col min="7946" max="7946" width="16.140625" style="15" bestFit="1" customWidth="1" collapsed="1"/>
    <col min="7947" max="7947" width="15.42578125" style="15" customWidth="1" collapsed="1"/>
    <col min="7948" max="7948" width="14.140625" style="15" bestFit="1" customWidth="1" collapsed="1"/>
    <col min="7949" max="7949" width="54" style="15" customWidth="1" collapsed="1"/>
    <col min="7950" max="7950" width="31.7109375" style="15" customWidth="1" collapsed="1"/>
    <col min="7951" max="8192" width="9.140625" style="15" collapsed="1"/>
    <col min="8193" max="8193" width="5.140625" style="15" bestFit="1" customWidth="1" collapsed="1"/>
    <col min="8194" max="8194" width="6.42578125" style="15" bestFit="1" customWidth="1" collapsed="1"/>
    <col min="8195" max="8195" width="20.85546875" style="15" customWidth="1" collapsed="1"/>
    <col min="8196" max="8196" width="16.140625" style="15" bestFit="1" customWidth="1" collapsed="1"/>
    <col min="8197" max="8198" width="16.5703125" style="15" bestFit="1" customWidth="1" collapsed="1"/>
    <col min="8199" max="8199" width="16.140625" style="15" bestFit="1" customWidth="1" collapsed="1"/>
    <col min="8200" max="8200" width="15.42578125" style="15" customWidth="1" collapsed="1"/>
    <col min="8201" max="8201" width="15.5703125" style="15" customWidth="1" collapsed="1"/>
    <col min="8202" max="8202" width="16.140625" style="15" bestFit="1" customWidth="1" collapsed="1"/>
    <col min="8203" max="8203" width="15.42578125" style="15" customWidth="1" collapsed="1"/>
    <col min="8204" max="8204" width="14.140625" style="15" bestFit="1" customWidth="1" collapsed="1"/>
    <col min="8205" max="8205" width="54" style="15" customWidth="1" collapsed="1"/>
    <col min="8206" max="8206" width="31.7109375" style="15" customWidth="1" collapsed="1"/>
    <col min="8207" max="8448" width="9.140625" style="15" collapsed="1"/>
    <col min="8449" max="8449" width="5.140625" style="15" bestFit="1" customWidth="1" collapsed="1"/>
    <col min="8450" max="8450" width="6.42578125" style="15" bestFit="1" customWidth="1" collapsed="1"/>
    <col min="8451" max="8451" width="20.85546875" style="15" customWidth="1" collapsed="1"/>
    <col min="8452" max="8452" width="16.140625" style="15" bestFit="1" customWidth="1" collapsed="1"/>
    <col min="8453" max="8454" width="16.5703125" style="15" bestFit="1" customWidth="1" collapsed="1"/>
    <col min="8455" max="8455" width="16.140625" style="15" bestFit="1" customWidth="1" collapsed="1"/>
    <col min="8456" max="8456" width="15.42578125" style="15" customWidth="1" collapsed="1"/>
    <col min="8457" max="8457" width="15.5703125" style="15" customWidth="1" collapsed="1"/>
    <col min="8458" max="8458" width="16.140625" style="15" bestFit="1" customWidth="1" collapsed="1"/>
    <col min="8459" max="8459" width="15.42578125" style="15" customWidth="1" collapsed="1"/>
    <col min="8460" max="8460" width="14.140625" style="15" bestFit="1" customWidth="1" collapsed="1"/>
    <col min="8461" max="8461" width="54" style="15" customWidth="1" collapsed="1"/>
    <col min="8462" max="8462" width="31.7109375" style="15" customWidth="1" collapsed="1"/>
    <col min="8463" max="8704" width="9.140625" style="15" collapsed="1"/>
    <col min="8705" max="8705" width="5.140625" style="15" bestFit="1" customWidth="1" collapsed="1"/>
    <col min="8706" max="8706" width="6.42578125" style="15" bestFit="1" customWidth="1" collapsed="1"/>
    <col min="8707" max="8707" width="20.85546875" style="15" customWidth="1" collapsed="1"/>
    <col min="8708" max="8708" width="16.140625" style="15" bestFit="1" customWidth="1" collapsed="1"/>
    <col min="8709" max="8710" width="16.5703125" style="15" bestFit="1" customWidth="1" collapsed="1"/>
    <col min="8711" max="8711" width="16.140625" style="15" bestFit="1" customWidth="1" collapsed="1"/>
    <col min="8712" max="8712" width="15.42578125" style="15" customWidth="1" collapsed="1"/>
    <col min="8713" max="8713" width="15.5703125" style="15" customWidth="1" collapsed="1"/>
    <col min="8714" max="8714" width="16.140625" style="15" bestFit="1" customWidth="1" collapsed="1"/>
    <col min="8715" max="8715" width="15.42578125" style="15" customWidth="1" collapsed="1"/>
    <col min="8716" max="8716" width="14.140625" style="15" bestFit="1" customWidth="1" collapsed="1"/>
    <col min="8717" max="8717" width="54" style="15" customWidth="1" collapsed="1"/>
    <col min="8718" max="8718" width="31.7109375" style="15" customWidth="1" collapsed="1"/>
    <col min="8719" max="8960" width="9.140625" style="15" collapsed="1"/>
    <col min="8961" max="8961" width="5.140625" style="15" bestFit="1" customWidth="1" collapsed="1"/>
    <col min="8962" max="8962" width="6.42578125" style="15" bestFit="1" customWidth="1" collapsed="1"/>
    <col min="8963" max="8963" width="20.85546875" style="15" customWidth="1" collapsed="1"/>
    <col min="8964" max="8964" width="16.140625" style="15" bestFit="1" customWidth="1" collapsed="1"/>
    <col min="8965" max="8966" width="16.5703125" style="15" bestFit="1" customWidth="1" collapsed="1"/>
    <col min="8967" max="8967" width="16.140625" style="15" bestFit="1" customWidth="1" collapsed="1"/>
    <col min="8968" max="8968" width="15.42578125" style="15" customWidth="1" collapsed="1"/>
    <col min="8969" max="8969" width="15.5703125" style="15" customWidth="1" collapsed="1"/>
    <col min="8970" max="8970" width="16.140625" style="15" bestFit="1" customWidth="1" collapsed="1"/>
    <col min="8971" max="8971" width="15.42578125" style="15" customWidth="1" collapsed="1"/>
    <col min="8972" max="8972" width="14.140625" style="15" bestFit="1" customWidth="1" collapsed="1"/>
    <col min="8973" max="8973" width="54" style="15" customWidth="1" collapsed="1"/>
    <col min="8974" max="8974" width="31.7109375" style="15" customWidth="1" collapsed="1"/>
    <col min="8975" max="9216" width="9.140625" style="15" collapsed="1"/>
    <col min="9217" max="9217" width="5.140625" style="15" bestFit="1" customWidth="1" collapsed="1"/>
    <col min="9218" max="9218" width="6.42578125" style="15" bestFit="1" customWidth="1" collapsed="1"/>
    <col min="9219" max="9219" width="20.85546875" style="15" customWidth="1" collapsed="1"/>
    <col min="9220" max="9220" width="16.140625" style="15" bestFit="1" customWidth="1" collapsed="1"/>
    <col min="9221" max="9222" width="16.5703125" style="15" bestFit="1" customWidth="1" collapsed="1"/>
    <col min="9223" max="9223" width="16.140625" style="15" bestFit="1" customWidth="1" collapsed="1"/>
    <col min="9224" max="9224" width="15.42578125" style="15" customWidth="1" collapsed="1"/>
    <col min="9225" max="9225" width="15.5703125" style="15" customWidth="1" collapsed="1"/>
    <col min="9226" max="9226" width="16.140625" style="15" bestFit="1" customWidth="1" collapsed="1"/>
    <col min="9227" max="9227" width="15.42578125" style="15" customWidth="1" collapsed="1"/>
    <col min="9228" max="9228" width="14.140625" style="15" bestFit="1" customWidth="1" collapsed="1"/>
    <col min="9229" max="9229" width="54" style="15" customWidth="1" collapsed="1"/>
    <col min="9230" max="9230" width="31.7109375" style="15" customWidth="1" collapsed="1"/>
    <col min="9231" max="9472" width="9.140625" style="15" collapsed="1"/>
    <col min="9473" max="9473" width="5.140625" style="15" bestFit="1" customWidth="1" collapsed="1"/>
    <col min="9474" max="9474" width="6.42578125" style="15" bestFit="1" customWidth="1" collapsed="1"/>
    <col min="9475" max="9475" width="20.85546875" style="15" customWidth="1" collapsed="1"/>
    <col min="9476" max="9476" width="16.140625" style="15" bestFit="1" customWidth="1" collapsed="1"/>
    <col min="9477" max="9478" width="16.5703125" style="15" bestFit="1" customWidth="1" collapsed="1"/>
    <col min="9479" max="9479" width="16.140625" style="15" bestFit="1" customWidth="1" collapsed="1"/>
    <col min="9480" max="9480" width="15.42578125" style="15" customWidth="1" collapsed="1"/>
    <col min="9481" max="9481" width="15.5703125" style="15" customWidth="1" collapsed="1"/>
    <col min="9482" max="9482" width="16.140625" style="15" bestFit="1" customWidth="1" collapsed="1"/>
    <col min="9483" max="9483" width="15.42578125" style="15" customWidth="1" collapsed="1"/>
    <col min="9484" max="9484" width="14.140625" style="15" bestFit="1" customWidth="1" collapsed="1"/>
    <col min="9485" max="9485" width="54" style="15" customWidth="1" collapsed="1"/>
    <col min="9486" max="9486" width="31.7109375" style="15" customWidth="1" collapsed="1"/>
    <col min="9487" max="9728" width="9.140625" style="15" collapsed="1"/>
    <col min="9729" max="9729" width="5.140625" style="15" bestFit="1" customWidth="1" collapsed="1"/>
    <col min="9730" max="9730" width="6.42578125" style="15" bestFit="1" customWidth="1" collapsed="1"/>
    <col min="9731" max="9731" width="20.85546875" style="15" customWidth="1" collapsed="1"/>
    <col min="9732" max="9732" width="16.140625" style="15" bestFit="1" customWidth="1" collapsed="1"/>
    <col min="9733" max="9734" width="16.5703125" style="15" bestFit="1" customWidth="1" collapsed="1"/>
    <col min="9735" max="9735" width="16.140625" style="15" bestFit="1" customWidth="1" collapsed="1"/>
    <col min="9736" max="9736" width="15.42578125" style="15" customWidth="1" collapsed="1"/>
    <col min="9737" max="9737" width="15.5703125" style="15" customWidth="1" collapsed="1"/>
    <col min="9738" max="9738" width="16.140625" style="15" bestFit="1" customWidth="1" collapsed="1"/>
    <col min="9739" max="9739" width="15.42578125" style="15" customWidth="1" collapsed="1"/>
    <col min="9740" max="9740" width="14.140625" style="15" bestFit="1" customWidth="1" collapsed="1"/>
    <col min="9741" max="9741" width="54" style="15" customWidth="1" collapsed="1"/>
    <col min="9742" max="9742" width="31.7109375" style="15" customWidth="1" collapsed="1"/>
    <col min="9743" max="9984" width="9.140625" style="15" collapsed="1"/>
    <col min="9985" max="9985" width="5.140625" style="15" bestFit="1" customWidth="1" collapsed="1"/>
    <col min="9986" max="9986" width="6.42578125" style="15" bestFit="1" customWidth="1" collapsed="1"/>
    <col min="9987" max="9987" width="20.85546875" style="15" customWidth="1" collapsed="1"/>
    <col min="9988" max="9988" width="16.140625" style="15" bestFit="1" customWidth="1" collapsed="1"/>
    <col min="9989" max="9990" width="16.5703125" style="15" bestFit="1" customWidth="1" collapsed="1"/>
    <col min="9991" max="9991" width="16.140625" style="15" bestFit="1" customWidth="1" collapsed="1"/>
    <col min="9992" max="9992" width="15.42578125" style="15" customWidth="1" collapsed="1"/>
    <col min="9993" max="9993" width="15.5703125" style="15" customWidth="1" collapsed="1"/>
    <col min="9994" max="9994" width="16.140625" style="15" bestFit="1" customWidth="1" collapsed="1"/>
    <col min="9995" max="9995" width="15.42578125" style="15" customWidth="1" collapsed="1"/>
    <col min="9996" max="9996" width="14.140625" style="15" bestFit="1" customWidth="1" collapsed="1"/>
    <col min="9997" max="9997" width="54" style="15" customWidth="1" collapsed="1"/>
    <col min="9998" max="9998" width="31.7109375" style="15" customWidth="1" collapsed="1"/>
    <col min="9999" max="10240" width="9.140625" style="15" collapsed="1"/>
    <col min="10241" max="10241" width="5.140625" style="15" bestFit="1" customWidth="1" collapsed="1"/>
    <col min="10242" max="10242" width="6.42578125" style="15" bestFit="1" customWidth="1" collapsed="1"/>
    <col min="10243" max="10243" width="20.85546875" style="15" customWidth="1" collapsed="1"/>
    <col min="10244" max="10244" width="16.140625" style="15" bestFit="1" customWidth="1" collapsed="1"/>
    <col min="10245" max="10246" width="16.5703125" style="15" bestFit="1" customWidth="1" collapsed="1"/>
    <col min="10247" max="10247" width="16.140625" style="15" bestFit="1" customWidth="1" collapsed="1"/>
    <col min="10248" max="10248" width="15.42578125" style="15" customWidth="1" collapsed="1"/>
    <col min="10249" max="10249" width="15.5703125" style="15" customWidth="1" collapsed="1"/>
    <col min="10250" max="10250" width="16.140625" style="15" bestFit="1" customWidth="1" collapsed="1"/>
    <col min="10251" max="10251" width="15.42578125" style="15" customWidth="1" collapsed="1"/>
    <col min="10252" max="10252" width="14.140625" style="15" bestFit="1" customWidth="1" collapsed="1"/>
    <col min="10253" max="10253" width="54" style="15" customWidth="1" collapsed="1"/>
    <col min="10254" max="10254" width="31.7109375" style="15" customWidth="1" collapsed="1"/>
    <col min="10255" max="10496" width="9.140625" style="15" collapsed="1"/>
    <col min="10497" max="10497" width="5.140625" style="15" bestFit="1" customWidth="1" collapsed="1"/>
    <col min="10498" max="10498" width="6.42578125" style="15" bestFit="1" customWidth="1" collapsed="1"/>
    <col min="10499" max="10499" width="20.85546875" style="15" customWidth="1" collapsed="1"/>
    <col min="10500" max="10500" width="16.140625" style="15" bestFit="1" customWidth="1" collapsed="1"/>
    <col min="10501" max="10502" width="16.5703125" style="15" bestFit="1" customWidth="1" collapsed="1"/>
    <col min="10503" max="10503" width="16.140625" style="15" bestFit="1" customWidth="1" collapsed="1"/>
    <col min="10504" max="10504" width="15.42578125" style="15" customWidth="1" collapsed="1"/>
    <col min="10505" max="10505" width="15.5703125" style="15" customWidth="1" collapsed="1"/>
    <col min="10506" max="10506" width="16.140625" style="15" bestFit="1" customWidth="1" collapsed="1"/>
    <col min="10507" max="10507" width="15.42578125" style="15" customWidth="1" collapsed="1"/>
    <col min="10508" max="10508" width="14.140625" style="15" bestFit="1" customWidth="1" collapsed="1"/>
    <col min="10509" max="10509" width="54" style="15" customWidth="1" collapsed="1"/>
    <col min="10510" max="10510" width="31.7109375" style="15" customWidth="1" collapsed="1"/>
    <col min="10511" max="10752" width="9.140625" style="15" collapsed="1"/>
    <col min="10753" max="10753" width="5.140625" style="15" bestFit="1" customWidth="1" collapsed="1"/>
    <col min="10754" max="10754" width="6.42578125" style="15" bestFit="1" customWidth="1" collapsed="1"/>
    <col min="10755" max="10755" width="20.85546875" style="15" customWidth="1" collapsed="1"/>
    <col min="10756" max="10756" width="16.140625" style="15" bestFit="1" customWidth="1" collapsed="1"/>
    <col min="10757" max="10758" width="16.5703125" style="15" bestFit="1" customWidth="1" collapsed="1"/>
    <col min="10759" max="10759" width="16.140625" style="15" bestFit="1" customWidth="1" collapsed="1"/>
    <col min="10760" max="10760" width="15.42578125" style="15" customWidth="1" collapsed="1"/>
    <col min="10761" max="10761" width="15.5703125" style="15" customWidth="1" collapsed="1"/>
    <col min="10762" max="10762" width="16.140625" style="15" bestFit="1" customWidth="1" collapsed="1"/>
    <col min="10763" max="10763" width="15.42578125" style="15" customWidth="1" collapsed="1"/>
    <col min="10764" max="10764" width="14.140625" style="15" bestFit="1" customWidth="1" collapsed="1"/>
    <col min="10765" max="10765" width="54" style="15" customWidth="1" collapsed="1"/>
    <col min="10766" max="10766" width="31.7109375" style="15" customWidth="1" collapsed="1"/>
    <col min="10767" max="11008" width="9.140625" style="15" collapsed="1"/>
    <col min="11009" max="11009" width="5.140625" style="15" bestFit="1" customWidth="1" collapsed="1"/>
    <col min="11010" max="11010" width="6.42578125" style="15" bestFit="1" customWidth="1" collapsed="1"/>
    <col min="11011" max="11011" width="20.85546875" style="15" customWidth="1" collapsed="1"/>
    <col min="11012" max="11012" width="16.140625" style="15" bestFit="1" customWidth="1" collapsed="1"/>
    <col min="11013" max="11014" width="16.5703125" style="15" bestFit="1" customWidth="1" collapsed="1"/>
    <col min="11015" max="11015" width="16.140625" style="15" bestFit="1" customWidth="1" collapsed="1"/>
    <col min="11016" max="11016" width="15.42578125" style="15" customWidth="1" collapsed="1"/>
    <col min="11017" max="11017" width="15.5703125" style="15" customWidth="1" collapsed="1"/>
    <col min="11018" max="11018" width="16.140625" style="15" bestFit="1" customWidth="1" collapsed="1"/>
    <col min="11019" max="11019" width="15.42578125" style="15" customWidth="1" collapsed="1"/>
    <col min="11020" max="11020" width="14.140625" style="15" bestFit="1" customWidth="1" collapsed="1"/>
    <col min="11021" max="11021" width="54" style="15" customWidth="1" collapsed="1"/>
    <col min="11022" max="11022" width="31.7109375" style="15" customWidth="1" collapsed="1"/>
    <col min="11023" max="11264" width="9.140625" style="15" collapsed="1"/>
    <col min="11265" max="11265" width="5.140625" style="15" bestFit="1" customWidth="1" collapsed="1"/>
    <col min="11266" max="11266" width="6.42578125" style="15" bestFit="1" customWidth="1" collapsed="1"/>
    <col min="11267" max="11267" width="20.85546875" style="15" customWidth="1" collapsed="1"/>
    <col min="11268" max="11268" width="16.140625" style="15" bestFit="1" customWidth="1" collapsed="1"/>
    <col min="11269" max="11270" width="16.5703125" style="15" bestFit="1" customWidth="1" collapsed="1"/>
    <col min="11271" max="11271" width="16.140625" style="15" bestFit="1" customWidth="1" collapsed="1"/>
    <col min="11272" max="11272" width="15.42578125" style="15" customWidth="1" collapsed="1"/>
    <col min="11273" max="11273" width="15.5703125" style="15" customWidth="1" collapsed="1"/>
    <col min="11274" max="11274" width="16.140625" style="15" bestFit="1" customWidth="1" collapsed="1"/>
    <col min="11275" max="11275" width="15.42578125" style="15" customWidth="1" collapsed="1"/>
    <col min="11276" max="11276" width="14.140625" style="15" bestFit="1" customWidth="1" collapsed="1"/>
    <col min="11277" max="11277" width="54" style="15" customWidth="1" collapsed="1"/>
    <col min="11278" max="11278" width="31.7109375" style="15" customWidth="1" collapsed="1"/>
    <col min="11279" max="11520" width="9.140625" style="15" collapsed="1"/>
    <col min="11521" max="11521" width="5.140625" style="15" bestFit="1" customWidth="1" collapsed="1"/>
    <col min="11522" max="11522" width="6.42578125" style="15" bestFit="1" customWidth="1" collapsed="1"/>
    <col min="11523" max="11523" width="20.85546875" style="15" customWidth="1" collapsed="1"/>
    <col min="11524" max="11524" width="16.140625" style="15" bestFit="1" customWidth="1" collapsed="1"/>
    <col min="11525" max="11526" width="16.5703125" style="15" bestFit="1" customWidth="1" collapsed="1"/>
    <col min="11527" max="11527" width="16.140625" style="15" bestFit="1" customWidth="1" collapsed="1"/>
    <col min="11528" max="11528" width="15.42578125" style="15" customWidth="1" collapsed="1"/>
    <col min="11529" max="11529" width="15.5703125" style="15" customWidth="1" collapsed="1"/>
    <col min="11530" max="11530" width="16.140625" style="15" bestFit="1" customWidth="1" collapsed="1"/>
    <col min="11531" max="11531" width="15.42578125" style="15" customWidth="1" collapsed="1"/>
    <col min="11532" max="11532" width="14.140625" style="15" bestFit="1" customWidth="1" collapsed="1"/>
    <col min="11533" max="11533" width="54" style="15" customWidth="1" collapsed="1"/>
    <col min="11534" max="11534" width="31.7109375" style="15" customWidth="1" collapsed="1"/>
    <col min="11535" max="11776" width="9.140625" style="15" collapsed="1"/>
    <col min="11777" max="11777" width="5.140625" style="15" bestFit="1" customWidth="1" collapsed="1"/>
    <col min="11778" max="11778" width="6.42578125" style="15" bestFit="1" customWidth="1" collapsed="1"/>
    <col min="11779" max="11779" width="20.85546875" style="15" customWidth="1" collapsed="1"/>
    <col min="11780" max="11780" width="16.140625" style="15" bestFit="1" customWidth="1" collapsed="1"/>
    <col min="11781" max="11782" width="16.5703125" style="15" bestFit="1" customWidth="1" collapsed="1"/>
    <col min="11783" max="11783" width="16.140625" style="15" bestFit="1" customWidth="1" collapsed="1"/>
    <col min="11784" max="11784" width="15.42578125" style="15" customWidth="1" collapsed="1"/>
    <col min="11785" max="11785" width="15.5703125" style="15" customWidth="1" collapsed="1"/>
    <col min="11786" max="11786" width="16.140625" style="15" bestFit="1" customWidth="1" collapsed="1"/>
    <col min="11787" max="11787" width="15.42578125" style="15" customWidth="1" collapsed="1"/>
    <col min="11788" max="11788" width="14.140625" style="15" bestFit="1" customWidth="1" collapsed="1"/>
    <col min="11789" max="11789" width="54" style="15" customWidth="1" collapsed="1"/>
    <col min="11790" max="11790" width="31.7109375" style="15" customWidth="1" collapsed="1"/>
    <col min="11791" max="12032" width="9.140625" style="15" collapsed="1"/>
    <col min="12033" max="12033" width="5.140625" style="15" bestFit="1" customWidth="1" collapsed="1"/>
    <col min="12034" max="12034" width="6.42578125" style="15" bestFit="1" customWidth="1" collapsed="1"/>
    <col min="12035" max="12035" width="20.85546875" style="15" customWidth="1" collapsed="1"/>
    <col min="12036" max="12036" width="16.140625" style="15" bestFit="1" customWidth="1" collapsed="1"/>
    <col min="12037" max="12038" width="16.5703125" style="15" bestFit="1" customWidth="1" collapsed="1"/>
    <col min="12039" max="12039" width="16.140625" style="15" bestFit="1" customWidth="1" collapsed="1"/>
    <col min="12040" max="12040" width="15.42578125" style="15" customWidth="1" collapsed="1"/>
    <col min="12041" max="12041" width="15.5703125" style="15" customWidth="1" collapsed="1"/>
    <col min="12042" max="12042" width="16.140625" style="15" bestFit="1" customWidth="1" collapsed="1"/>
    <col min="12043" max="12043" width="15.42578125" style="15" customWidth="1" collapsed="1"/>
    <col min="12044" max="12044" width="14.140625" style="15" bestFit="1" customWidth="1" collapsed="1"/>
    <col min="12045" max="12045" width="54" style="15" customWidth="1" collapsed="1"/>
    <col min="12046" max="12046" width="31.7109375" style="15" customWidth="1" collapsed="1"/>
    <col min="12047" max="12288" width="9.140625" style="15" collapsed="1"/>
    <col min="12289" max="12289" width="5.140625" style="15" bestFit="1" customWidth="1" collapsed="1"/>
    <col min="12290" max="12290" width="6.42578125" style="15" bestFit="1" customWidth="1" collapsed="1"/>
    <col min="12291" max="12291" width="20.85546875" style="15" customWidth="1" collapsed="1"/>
    <col min="12292" max="12292" width="16.140625" style="15" bestFit="1" customWidth="1" collapsed="1"/>
    <col min="12293" max="12294" width="16.5703125" style="15" bestFit="1" customWidth="1" collapsed="1"/>
    <col min="12295" max="12295" width="16.140625" style="15" bestFit="1" customWidth="1" collapsed="1"/>
    <col min="12296" max="12296" width="15.42578125" style="15" customWidth="1" collapsed="1"/>
    <col min="12297" max="12297" width="15.5703125" style="15" customWidth="1" collapsed="1"/>
    <col min="12298" max="12298" width="16.140625" style="15" bestFit="1" customWidth="1" collapsed="1"/>
    <col min="12299" max="12299" width="15.42578125" style="15" customWidth="1" collapsed="1"/>
    <col min="12300" max="12300" width="14.140625" style="15" bestFit="1" customWidth="1" collapsed="1"/>
    <col min="12301" max="12301" width="54" style="15" customWidth="1" collapsed="1"/>
    <col min="12302" max="12302" width="31.7109375" style="15" customWidth="1" collapsed="1"/>
    <col min="12303" max="12544" width="9.140625" style="15" collapsed="1"/>
    <col min="12545" max="12545" width="5.140625" style="15" bestFit="1" customWidth="1" collapsed="1"/>
    <col min="12546" max="12546" width="6.42578125" style="15" bestFit="1" customWidth="1" collapsed="1"/>
    <col min="12547" max="12547" width="20.85546875" style="15" customWidth="1" collapsed="1"/>
    <col min="12548" max="12548" width="16.140625" style="15" bestFit="1" customWidth="1" collapsed="1"/>
    <col min="12549" max="12550" width="16.5703125" style="15" bestFit="1" customWidth="1" collapsed="1"/>
    <col min="12551" max="12551" width="16.140625" style="15" bestFit="1" customWidth="1" collapsed="1"/>
    <col min="12552" max="12552" width="15.42578125" style="15" customWidth="1" collapsed="1"/>
    <col min="12553" max="12553" width="15.5703125" style="15" customWidth="1" collapsed="1"/>
    <col min="12554" max="12554" width="16.140625" style="15" bestFit="1" customWidth="1" collapsed="1"/>
    <col min="12555" max="12555" width="15.42578125" style="15" customWidth="1" collapsed="1"/>
    <col min="12556" max="12556" width="14.140625" style="15" bestFit="1" customWidth="1" collapsed="1"/>
    <col min="12557" max="12557" width="54" style="15" customWidth="1" collapsed="1"/>
    <col min="12558" max="12558" width="31.7109375" style="15" customWidth="1" collapsed="1"/>
    <col min="12559" max="12800" width="9.140625" style="15" collapsed="1"/>
    <col min="12801" max="12801" width="5.140625" style="15" bestFit="1" customWidth="1" collapsed="1"/>
    <col min="12802" max="12802" width="6.42578125" style="15" bestFit="1" customWidth="1" collapsed="1"/>
    <col min="12803" max="12803" width="20.85546875" style="15" customWidth="1" collapsed="1"/>
    <col min="12804" max="12804" width="16.140625" style="15" bestFit="1" customWidth="1" collapsed="1"/>
    <col min="12805" max="12806" width="16.5703125" style="15" bestFit="1" customWidth="1" collapsed="1"/>
    <col min="12807" max="12807" width="16.140625" style="15" bestFit="1" customWidth="1" collapsed="1"/>
    <col min="12808" max="12808" width="15.42578125" style="15" customWidth="1" collapsed="1"/>
    <col min="12809" max="12809" width="15.5703125" style="15" customWidth="1" collapsed="1"/>
    <col min="12810" max="12810" width="16.140625" style="15" bestFit="1" customWidth="1" collapsed="1"/>
    <col min="12811" max="12811" width="15.42578125" style="15" customWidth="1" collapsed="1"/>
    <col min="12812" max="12812" width="14.140625" style="15" bestFit="1" customWidth="1" collapsed="1"/>
    <col min="12813" max="12813" width="54" style="15" customWidth="1" collapsed="1"/>
    <col min="12814" max="12814" width="31.7109375" style="15" customWidth="1" collapsed="1"/>
    <col min="12815" max="13056" width="9.140625" style="15" collapsed="1"/>
    <col min="13057" max="13057" width="5.140625" style="15" bestFit="1" customWidth="1" collapsed="1"/>
    <col min="13058" max="13058" width="6.42578125" style="15" bestFit="1" customWidth="1" collapsed="1"/>
    <col min="13059" max="13059" width="20.85546875" style="15" customWidth="1" collapsed="1"/>
    <col min="13060" max="13060" width="16.140625" style="15" bestFit="1" customWidth="1" collapsed="1"/>
    <col min="13061" max="13062" width="16.5703125" style="15" bestFit="1" customWidth="1" collapsed="1"/>
    <col min="13063" max="13063" width="16.140625" style="15" bestFit="1" customWidth="1" collapsed="1"/>
    <col min="13064" max="13064" width="15.42578125" style="15" customWidth="1" collapsed="1"/>
    <col min="13065" max="13065" width="15.5703125" style="15" customWidth="1" collapsed="1"/>
    <col min="13066" max="13066" width="16.140625" style="15" bestFit="1" customWidth="1" collapsed="1"/>
    <col min="13067" max="13067" width="15.42578125" style="15" customWidth="1" collapsed="1"/>
    <col min="13068" max="13068" width="14.140625" style="15" bestFit="1" customWidth="1" collapsed="1"/>
    <col min="13069" max="13069" width="54" style="15" customWidth="1" collapsed="1"/>
    <col min="13070" max="13070" width="31.7109375" style="15" customWidth="1" collapsed="1"/>
    <col min="13071" max="13312" width="9.140625" style="15" collapsed="1"/>
    <col min="13313" max="13313" width="5.140625" style="15" bestFit="1" customWidth="1" collapsed="1"/>
    <col min="13314" max="13314" width="6.42578125" style="15" bestFit="1" customWidth="1" collapsed="1"/>
    <col min="13315" max="13315" width="20.85546875" style="15" customWidth="1" collapsed="1"/>
    <col min="13316" max="13316" width="16.140625" style="15" bestFit="1" customWidth="1" collapsed="1"/>
    <col min="13317" max="13318" width="16.5703125" style="15" bestFit="1" customWidth="1" collapsed="1"/>
    <col min="13319" max="13319" width="16.140625" style="15" bestFit="1" customWidth="1" collapsed="1"/>
    <col min="13320" max="13320" width="15.42578125" style="15" customWidth="1" collapsed="1"/>
    <col min="13321" max="13321" width="15.5703125" style="15" customWidth="1" collapsed="1"/>
    <col min="13322" max="13322" width="16.140625" style="15" bestFit="1" customWidth="1" collapsed="1"/>
    <col min="13323" max="13323" width="15.42578125" style="15" customWidth="1" collapsed="1"/>
    <col min="13324" max="13324" width="14.140625" style="15" bestFit="1" customWidth="1" collapsed="1"/>
    <col min="13325" max="13325" width="54" style="15" customWidth="1" collapsed="1"/>
    <col min="13326" max="13326" width="31.7109375" style="15" customWidth="1" collapsed="1"/>
    <col min="13327" max="13568" width="9.140625" style="15" collapsed="1"/>
    <col min="13569" max="13569" width="5.140625" style="15" bestFit="1" customWidth="1" collapsed="1"/>
    <col min="13570" max="13570" width="6.42578125" style="15" bestFit="1" customWidth="1" collapsed="1"/>
    <col min="13571" max="13571" width="20.85546875" style="15" customWidth="1" collapsed="1"/>
    <col min="13572" max="13572" width="16.140625" style="15" bestFit="1" customWidth="1" collapsed="1"/>
    <col min="13573" max="13574" width="16.5703125" style="15" bestFit="1" customWidth="1" collapsed="1"/>
    <col min="13575" max="13575" width="16.140625" style="15" bestFit="1" customWidth="1" collapsed="1"/>
    <col min="13576" max="13576" width="15.42578125" style="15" customWidth="1" collapsed="1"/>
    <col min="13577" max="13577" width="15.5703125" style="15" customWidth="1" collapsed="1"/>
    <col min="13578" max="13578" width="16.140625" style="15" bestFit="1" customWidth="1" collapsed="1"/>
    <col min="13579" max="13579" width="15.42578125" style="15" customWidth="1" collapsed="1"/>
    <col min="13580" max="13580" width="14.140625" style="15" bestFit="1" customWidth="1" collapsed="1"/>
    <col min="13581" max="13581" width="54" style="15" customWidth="1" collapsed="1"/>
    <col min="13582" max="13582" width="31.7109375" style="15" customWidth="1" collapsed="1"/>
    <col min="13583" max="13824" width="9.140625" style="15" collapsed="1"/>
    <col min="13825" max="13825" width="5.140625" style="15" bestFit="1" customWidth="1" collapsed="1"/>
    <col min="13826" max="13826" width="6.42578125" style="15" bestFit="1" customWidth="1" collapsed="1"/>
    <col min="13827" max="13827" width="20.85546875" style="15" customWidth="1" collapsed="1"/>
    <col min="13828" max="13828" width="16.140625" style="15" bestFit="1" customWidth="1" collapsed="1"/>
    <col min="13829" max="13830" width="16.5703125" style="15" bestFit="1" customWidth="1" collapsed="1"/>
    <col min="13831" max="13831" width="16.140625" style="15" bestFit="1" customWidth="1" collapsed="1"/>
    <col min="13832" max="13832" width="15.42578125" style="15" customWidth="1" collapsed="1"/>
    <col min="13833" max="13833" width="15.5703125" style="15" customWidth="1" collapsed="1"/>
    <col min="13834" max="13834" width="16.140625" style="15" bestFit="1" customWidth="1" collapsed="1"/>
    <col min="13835" max="13835" width="15.42578125" style="15" customWidth="1" collapsed="1"/>
    <col min="13836" max="13836" width="14.140625" style="15" bestFit="1" customWidth="1" collapsed="1"/>
    <col min="13837" max="13837" width="54" style="15" customWidth="1" collapsed="1"/>
    <col min="13838" max="13838" width="31.7109375" style="15" customWidth="1" collapsed="1"/>
    <col min="13839" max="14080" width="9.140625" style="15" collapsed="1"/>
    <col min="14081" max="14081" width="5.140625" style="15" bestFit="1" customWidth="1" collapsed="1"/>
    <col min="14082" max="14082" width="6.42578125" style="15" bestFit="1" customWidth="1" collapsed="1"/>
    <col min="14083" max="14083" width="20.85546875" style="15" customWidth="1" collapsed="1"/>
    <col min="14084" max="14084" width="16.140625" style="15" bestFit="1" customWidth="1" collapsed="1"/>
    <col min="14085" max="14086" width="16.5703125" style="15" bestFit="1" customWidth="1" collapsed="1"/>
    <col min="14087" max="14087" width="16.140625" style="15" bestFit="1" customWidth="1" collapsed="1"/>
    <col min="14088" max="14088" width="15.42578125" style="15" customWidth="1" collapsed="1"/>
    <col min="14089" max="14089" width="15.5703125" style="15" customWidth="1" collapsed="1"/>
    <col min="14090" max="14090" width="16.140625" style="15" bestFit="1" customWidth="1" collapsed="1"/>
    <col min="14091" max="14091" width="15.42578125" style="15" customWidth="1" collapsed="1"/>
    <col min="14092" max="14092" width="14.140625" style="15" bestFit="1" customWidth="1" collapsed="1"/>
    <col min="14093" max="14093" width="54" style="15" customWidth="1" collapsed="1"/>
    <col min="14094" max="14094" width="31.7109375" style="15" customWidth="1" collapsed="1"/>
    <col min="14095" max="14336" width="9.140625" style="15" collapsed="1"/>
    <col min="14337" max="14337" width="5.140625" style="15" bestFit="1" customWidth="1" collapsed="1"/>
    <col min="14338" max="14338" width="6.42578125" style="15" bestFit="1" customWidth="1" collapsed="1"/>
    <col min="14339" max="14339" width="20.85546875" style="15" customWidth="1" collapsed="1"/>
    <col min="14340" max="14340" width="16.140625" style="15" bestFit="1" customWidth="1" collapsed="1"/>
    <col min="14341" max="14342" width="16.5703125" style="15" bestFit="1" customWidth="1" collapsed="1"/>
    <col min="14343" max="14343" width="16.140625" style="15" bestFit="1" customWidth="1" collapsed="1"/>
    <col min="14344" max="14344" width="15.42578125" style="15" customWidth="1" collapsed="1"/>
    <col min="14345" max="14345" width="15.5703125" style="15" customWidth="1" collapsed="1"/>
    <col min="14346" max="14346" width="16.140625" style="15" bestFit="1" customWidth="1" collapsed="1"/>
    <col min="14347" max="14347" width="15.42578125" style="15" customWidth="1" collapsed="1"/>
    <col min="14348" max="14348" width="14.140625" style="15" bestFit="1" customWidth="1" collapsed="1"/>
    <col min="14349" max="14349" width="54" style="15" customWidth="1" collapsed="1"/>
    <col min="14350" max="14350" width="31.7109375" style="15" customWidth="1" collapsed="1"/>
    <col min="14351" max="14592" width="9.140625" style="15" collapsed="1"/>
    <col min="14593" max="14593" width="5.140625" style="15" bestFit="1" customWidth="1" collapsed="1"/>
    <col min="14594" max="14594" width="6.42578125" style="15" bestFit="1" customWidth="1" collapsed="1"/>
    <col min="14595" max="14595" width="20.85546875" style="15" customWidth="1" collapsed="1"/>
    <col min="14596" max="14596" width="16.140625" style="15" bestFit="1" customWidth="1" collapsed="1"/>
    <col min="14597" max="14598" width="16.5703125" style="15" bestFit="1" customWidth="1" collapsed="1"/>
    <col min="14599" max="14599" width="16.140625" style="15" bestFit="1" customWidth="1" collapsed="1"/>
    <col min="14600" max="14600" width="15.42578125" style="15" customWidth="1" collapsed="1"/>
    <col min="14601" max="14601" width="15.5703125" style="15" customWidth="1" collapsed="1"/>
    <col min="14602" max="14602" width="16.140625" style="15" bestFit="1" customWidth="1" collapsed="1"/>
    <col min="14603" max="14603" width="15.42578125" style="15" customWidth="1" collapsed="1"/>
    <col min="14604" max="14604" width="14.140625" style="15" bestFit="1" customWidth="1" collapsed="1"/>
    <col min="14605" max="14605" width="54" style="15" customWidth="1" collapsed="1"/>
    <col min="14606" max="14606" width="31.7109375" style="15" customWidth="1" collapsed="1"/>
    <col min="14607" max="14848" width="9.140625" style="15" collapsed="1"/>
    <col min="14849" max="14849" width="5.140625" style="15" bestFit="1" customWidth="1" collapsed="1"/>
    <col min="14850" max="14850" width="6.42578125" style="15" bestFit="1" customWidth="1" collapsed="1"/>
    <col min="14851" max="14851" width="20.85546875" style="15" customWidth="1" collapsed="1"/>
    <col min="14852" max="14852" width="16.140625" style="15" bestFit="1" customWidth="1" collapsed="1"/>
    <col min="14853" max="14854" width="16.5703125" style="15" bestFit="1" customWidth="1" collapsed="1"/>
    <col min="14855" max="14855" width="16.140625" style="15" bestFit="1" customWidth="1" collapsed="1"/>
    <col min="14856" max="14856" width="15.42578125" style="15" customWidth="1" collapsed="1"/>
    <col min="14857" max="14857" width="15.5703125" style="15" customWidth="1" collapsed="1"/>
    <col min="14858" max="14858" width="16.140625" style="15" bestFit="1" customWidth="1" collapsed="1"/>
    <col min="14859" max="14859" width="15.42578125" style="15" customWidth="1" collapsed="1"/>
    <col min="14860" max="14860" width="14.140625" style="15" bestFit="1" customWidth="1" collapsed="1"/>
    <col min="14861" max="14861" width="54" style="15" customWidth="1" collapsed="1"/>
    <col min="14862" max="14862" width="31.7109375" style="15" customWidth="1" collapsed="1"/>
    <col min="14863" max="15104" width="9.140625" style="15" collapsed="1"/>
    <col min="15105" max="15105" width="5.140625" style="15" bestFit="1" customWidth="1" collapsed="1"/>
    <col min="15106" max="15106" width="6.42578125" style="15" bestFit="1" customWidth="1" collapsed="1"/>
    <col min="15107" max="15107" width="20.85546875" style="15" customWidth="1" collapsed="1"/>
    <col min="15108" max="15108" width="16.140625" style="15" bestFit="1" customWidth="1" collapsed="1"/>
    <col min="15109" max="15110" width="16.5703125" style="15" bestFit="1" customWidth="1" collapsed="1"/>
    <col min="15111" max="15111" width="16.140625" style="15" bestFit="1" customWidth="1" collapsed="1"/>
    <col min="15112" max="15112" width="15.42578125" style="15" customWidth="1" collapsed="1"/>
    <col min="15113" max="15113" width="15.5703125" style="15" customWidth="1" collapsed="1"/>
    <col min="15114" max="15114" width="16.140625" style="15" bestFit="1" customWidth="1" collapsed="1"/>
    <col min="15115" max="15115" width="15.42578125" style="15" customWidth="1" collapsed="1"/>
    <col min="15116" max="15116" width="14.140625" style="15" bestFit="1" customWidth="1" collapsed="1"/>
    <col min="15117" max="15117" width="54" style="15" customWidth="1" collapsed="1"/>
    <col min="15118" max="15118" width="31.7109375" style="15" customWidth="1" collapsed="1"/>
    <col min="15119" max="15360" width="9.140625" style="15" collapsed="1"/>
    <col min="15361" max="15361" width="5.140625" style="15" bestFit="1" customWidth="1" collapsed="1"/>
    <col min="15362" max="15362" width="6.42578125" style="15" bestFit="1" customWidth="1" collapsed="1"/>
    <col min="15363" max="15363" width="20.85546875" style="15" customWidth="1" collapsed="1"/>
    <col min="15364" max="15364" width="16.140625" style="15" bestFit="1" customWidth="1" collapsed="1"/>
    <col min="15365" max="15366" width="16.5703125" style="15" bestFit="1" customWidth="1" collapsed="1"/>
    <col min="15367" max="15367" width="16.140625" style="15" bestFit="1" customWidth="1" collapsed="1"/>
    <col min="15368" max="15368" width="15.42578125" style="15" customWidth="1" collapsed="1"/>
    <col min="15369" max="15369" width="15.5703125" style="15" customWidth="1" collapsed="1"/>
    <col min="15370" max="15370" width="16.140625" style="15" bestFit="1" customWidth="1" collapsed="1"/>
    <col min="15371" max="15371" width="15.42578125" style="15" customWidth="1" collapsed="1"/>
    <col min="15372" max="15372" width="14.140625" style="15" bestFit="1" customWidth="1" collapsed="1"/>
    <col min="15373" max="15373" width="54" style="15" customWidth="1" collapsed="1"/>
    <col min="15374" max="15374" width="31.7109375" style="15" customWidth="1" collapsed="1"/>
    <col min="15375" max="15616" width="9.140625" style="15" collapsed="1"/>
    <col min="15617" max="15617" width="5.140625" style="15" bestFit="1" customWidth="1" collapsed="1"/>
    <col min="15618" max="15618" width="6.42578125" style="15" bestFit="1" customWidth="1" collapsed="1"/>
    <col min="15619" max="15619" width="20.85546875" style="15" customWidth="1" collapsed="1"/>
    <col min="15620" max="15620" width="16.140625" style="15" bestFit="1" customWidth="1" collapsed="1"/>
    <col min="15621" max="15622" width="16.5703125" style="15" bestFit="1" customWidth="1" collapsed="1"/>
    <col min="15623" max="15623" width="16.140625" style="15" bestFit="1" customWidth="1" collapsed="1"/>
    <col min="15624" max="15624" width="15.42578125" style="15" customWidth="1" collapsed="1"/>
    <col min="15625" max="15625" width="15.5703125" style="15" customWidth="1" collapsed="1"/>
    <col min="15626" max="15626" width="16.140625" style="15" bestFit="1" customWidth="1" collapsed="1"/>
    <col min="15627" max="15627" width="15.42578125" style="15" customWidth="1" collapsed="1"/>
    <col min="15628" max="15628" width="14.140625" style="15" bestFit="1" customWidth="1" collapsed="1"/>
    <col min="15629" max="15629" width="54" style="15" customWidth="1" collapsed="1"/>
    <col min="15630" max="15630" width="31.7109375" style="15" customWidth="1" collapsed="1"/>
    <col min="15631" max="15872" width="9.140625" style="15" collapsed="1"/>
    <col min="15873" max="15873" width="5.140625" style="15" bestFit="1" customWidth="1" collapsed="1"/>
    <col min="15874" max="15874" width="6.42578125" style="15" bestFit="1" customWidth="1" collapsed="1"/>
    <col min="15875" max="15875" width="20.85546875" style="15" customWidth="1" collapsed="1"/>
    <col min="15876" max="15876" width="16.140625" style="15" bestFit="1" customWidth="1" collapsed="1"/>
    <col min="15877" max="15878" width="16.5703125" style="15" bestFit="1" customWidth="1" collapsed="1"/>
    <col min="15879" max="15879" width="16.140625" style="15" bestFit="1" customWidth="1" collapsed="1"/>
    <col min="15880" max="15880" width="15.42578125" style="15" customWidth="1" collapsed="1"/>
    <col min="15881" max="15881" width="15.5703125" style="15" customWidth="1" collapsed="1"/>
    <col min="15882" max="15882" width="16.140625" style="15" bestFit="1" customWidth="1" collapsed="1"/>
    <col min="15883" max="15883" width="15.42578125" style="15" customWidth="1" collapsed="1"/>
    <col min="15884" max="15884" width="14.140625" style="15" bestFit="1" customWidth="1" collapsed="1"/>
    <col min="15885" max="15885" width="54" style="15" customWidth="1" collapsed="1"/>
    <col min="15886" max="15886" width="31.7109375" style="15" customWidth="1" collapsed="1"/>
    <col min="15887" max="16128" width="9.140625" style="15" collapsed="1"/>
    <col min="16129" max="16129" width="5.140625" style="15" bestFit="1" customWidth="1" collapsed="1"/>
    <col min="16130" max="16130" width="6.42578125" style="15" bestFit="1" customWidth="1" collapsed="1"/>
    <col min="16131" max="16131" width="20.85546875" style="15" customWidth="1" collapsed="1"/>
    <col min="16132" max="16132" width="16.140625" style="15" bestFit="1" customWidth="1" collapsed="1"/>
    <col min="16133" max="16134" width="16.5703125" style="15" bestFit="1" customWidth="1" collapsed="1"/>
    <col min="16135" max="16135" width="16.140625" style="15" bestFit="1" customWidth="1" collapsed="1"/>
    <col min="16136" max="16136" width="15.42578125" style="15" customWidth="1" collapsed="1"/>
    <col min="16137" max="16137" width="15.5703125" style="15" customWidth="1" collapsed="1"/>
    <col min="16138" max="16138" width="16.140625" style="15" bestFit="1" customWidth="1" collapsed="1"/>
    <col min="16139" max="16139" width="15.42578125" style="15" customWidth="1" collapsed="1"/>
    <col min="16140" max="16140" width="14.140625" style="15" bestFit="1" customWidth="1" collapsed="1"/>
    <col min="16141" max="16141" width="54" style="15" customWidth="1" collapsed="1"/>
    <col min="16142" max="16142" width="31.7109375" style="15" customWidth="1" collapsed="1"/>
    <col min="16143" max="16384" width="9.140625" style="15" collapsed="1"/>
  </cols>
  <sheetData>
    <row r="1" spans="1:14" ht="16.5" customHeight="1" x14ac:dyDescent="0.25">
      <c r="A1" s="39" t="s">
        <v>0</v>
      </c>
      <c r="B1" s="9" t="s">
        <v>8</v>
      </c>
      <c r="C1" s="9" t="s">
        <v>7</v>
      </c>
      <c r="D1" s="9" t="s">
        <v>382</v>
      </c>
      <c r="E1" s="9" t="s">
        <v>364</v>
      </c>
      <c r="F1" s="9" t="s">
        <v>365</v>
      </c>
      <c r="G1" s="9" t="s">
        <v>366</v>
      </c>
      <c r="H1" s="9" t="s">
        <v>367</v>
      </c>
      <c r="I1" s="9" t="s">
        <v>368</v>
      </c>
      <c r="J1" s="9" t="s">
        <v>369</v>
      </c>
      <c r="K1" s="9" t="s">
        <v>43</v>
      </c>
      <c r="L1" s="9" t="s">
        <v>78</v>
      </c>
      <c r="M1" s="60" t="s">
        <v>450</v>
      </c>
      <c r="N1" s="40" t="s">
        <v>371</v>
      </c>
    </row>
    <row r="2" spans="1:14" x14ac:dyDescent="0.25">
      <c r="A2" s="2" t="s">
        <v>1</v>
      </c>
      <c r="B2"/>
      <c r="C2" s="14" t="s">
        <v>3</v>
      </c>
      <c r="D2" s="14" t="s">
        <v>363</v>
      </c>
      <c r="E2" s="2" t="s">
        <v>490</v>
      </c>
      <c r="F2"/>
      <c r="G2" s="2" t="s">
        <v>378</v>
      </c>
      <c r="H2"/>
      <c r="I2" s="12" t="s">
        <v>383</v>
      </c>
      <c r="J2" s="2" t="s">
        <v>43</v>
      </c>
      <c r="K2"/>
      <c r="L2"/>
      <c r="M2"/>
      <c r="N2" s="27" t="s">
        <v>379</v>
      </c>
    </row>
    <row r="3" spans="1:14" x14ac:dyDescent="0.25">
      <c r="A3" s="2" t="s">
        <v>2</v>
      </c>
      <c r="B3"/>
      <c r="C3" s="14" t="s">
        <v>3</v>
      </c>
      <c r="D3" s="14" t="s">
        <v>363</v>
      </c>
      <c r="E3" s="2" t="s">
        <v>376</v>
      </c>
      <c r="F3"/>
      <c r="G3" s="2" t="s">
        <v>378</v>
      </c>
      <c r="H3"/>
      <c r="I3" s="12" t="s">
        <v>383</v>
      </c>
      <c r="J3" s="2" t="s">
        <v>43</v>
      </c>
      <c r="K3" s="12"/>
      <c r="L3" s="11"/>
      <c r="M3"/>
      <c r="N3" s="27" t="s">
        <v>379</v>
      </c>
    </row>
    <row r="4" spans="1:14" x14ac:dyDescent="0.25">
      <c r="A4" s="2" t="s">
        <v>2</v>
      </c>
      <c r="B4"/>
      <c r="C4" s="14" t="s">
        <v>3</v>
      </c>
      <c r="D4" s="14" t="s">
        <v>363</v>
      </c>
      <c r="E4" s="2" t="s">
        <v>377</v>
      </c>
      <c r="F4"/>
      <c r="G4" s="12" t="s">
        <v>78</v>
      </c>
      <c r="H4"/>
      <c r="I4" s="12" t="s">
        <v>383</v>
      </c>
      <c r="J4" s="2" t="s">
        <v>78</v>
      </c>
      <c r="K4" s="12"/>
      <c r="L4" s="11"/>
      <c r="M4"/>
      <c r="N4" s="27" t="s">
        <v>380</v>
      </c>
    </row>
    <row r="5" spans="1:14" x14ac:dyDescent="0.25">
      <c r="A5" s="2" t="s">
        <v>2</v>
      </c>
      <c r="B5"/>
      <c r="C5" s="14" t="s">
        <v>3</v>
      </c>
      <c r="D5" s="14" t="s">
        <v>362</v>
      </c>
      <c r="E5" s="2" t="s">
        <v>376</v>
      </c>
      <c r="F5"/>
      <c r="G5" s="12" t="s">
        <v>43</v>
      </c>
      <c r="H5"/>
      <c r="I5" s="12" t="s">
        <v>383</v>
      </c>
      <c r="J5" s="2" t="s">
        <v>43</v>
      </c>
      <c r="K5" s="12"/>
      <c r="L5" s="12"/>
      <c r="M5"/>
      <c r="N5" s="27" t="s">
        <v>381</v>
      </c>
    </row>
    <row r="6" spans="1:14" x14ac:dyDescent="0.25">
      <c r="A6" s="2" t="s">
        <v>2</v>
      </c>
      <c r="B6"/>
      <c r="C6" s="14" t="s">
        <v>3</v>
      </c>
      <c r="D6" s="14" t="s">
        <v>362</v>
      </c>
      <c r="E6" s="2" t="s">
        <v>377</v>
      </c>
      <c r="F6"/>
      <c r="G6" s="12" t="s">
        <v>78</v>
      </c>
      <c r="H6"/>
      <c r="I6" s="12" t="s">
        <v>383</v>
      </c>
      <c r="J6" s="2" t="s">
        <v>78</v>
      </c>
      <c r="K6" s="12"/>
      <c r="L6" s="12"/>
      <c r="M6"/>
      <c r="N6" s="51" t="s">
        <v>493</v>
      </c>
    </row>
    <row r="7" spans="1:14" x14ac:dyDescent="0.25">
      <c r="A7" s="2" t="s">
        <v>16</v>
      </c>
      <c r="B7"/>
      <c r="C7" s="14" t="s">
        <v>3</v>
      </c>
      <c r="D7" s="14" t="s">
        <v>363</v>
      </c>
      <c r="E7" s="2" t="s">
        <v>376</v>
      </c>
      <c r="F7"/>
      <c r="G7" s="2" t="s">
        <v>378</v>
      </c>
      <c r="H7"/>
      <c r="I7" s="12" t="s">
        <v>383</v>
      </c>
      <c r="J7" s="2" t="s">
        <v>43</v>
      </c>
      <c r="K7"/>
      <c r="L7"/>
      <c r="M7"/>
      <c r="N7" s="27" t="s">
        <v>379</v>
      </c>
    </row>
    <row r="8" spans="1:14" x14ac:dyDescent="0.25">
      <c r="A8" s="2" t="s">
        <v>16</v>
      </c>
      <c r="B8"/>
      <c r="C8" s="14" t="s">
        <v>82</v>
      </c>
      <c r="D8" s="14" t="s">
        <v>363</v>
      </c>
      <c r="E8" s="2" t="s">
        <v>377</v>
      </c>
      <c r="F8"/>
      <c r="G8" s="12" t="s">
        <v>78</v>
      </c>
      <c r="H8"/>
      <c r="I8" s="12" t="s">
        <v>383</v>
      </c>
      <c r="J8" s="2" t="s">
        <v>78</v>
      </c>
      <c r="K8"/>
      <c r="L8"/>
      <c r="M8"/>
      <c r="N8" s="27" t="s">
        <v>380</v>
      </c>
    </row>
    <row r="9" spans="1:14" x14ac:dyDescent="0.25">
      <c r="A9" s="2" t="s">
        <v>16</v>
      </c>
      <c r="B9"/>
      <c r="C9" s="14" t="s">
        <v>3</v>
      </c>
      <c r="D9" s="14" t="s">
        <v>362</v>
      </c>
      <c r="E9" s="2" t="s">
        <v>376</v>
      </c>
      <c r="F9"/>
      <c r="G9" s="12" t="s">
        <v>43</v>
      </c>
      <c r="H9"/>
      <c r="I9" s="12" t="s">
        <v>383</v>
      </c>
      <c r="J9" s="2" t="s">
        <v>43</v>
      </c>
      <c r="K9"/>
      <c r="L9"/>
      <c r="M9"/>
      <c r="N9" s="27" t="s">
        <v>381</v>
      </c>
    </row>
    <row r="10" spans="1:14" x14ac:dyDescent="0.25">
      <c r="A10" s="2" t="s">
        <v>16</v>
      </c>
      <c r="B10"/>
      <c r="C10" s="14" t="s">
        <v>3</v>
      </c>
      <c r="D10" s="14" t="s">
        <v>362</v>
      </c>
      <c r="E10" s="2" t="s">
        <v>377</v>
      </c>
      <c r="F10"/>
      <c r="G10" s="12" t="s">
        <v>78</v>
      </c>
      <c r="H10"/>
      <c r="I10" s="12" t="s">
        <v>383</v>
      </c>
      <c r="J10" s="2" t="s">
        <v>78</v>
      </c>
      <c r="K10"/>
      <c r="L10"/>
      <c r="M10"/>
      <c r="N10" s="51" t="s">
        <v>493</v>
      </c>
    </row>
    <row r="11" spans="1:14" x14ac:dyDescent="0.25">
      <c r="A11" s="2" t="s">
        <v>114</v>
      </c>
      <c r="B11"/>
      <c r="C11" s="14" t="s">
        <v>3</v>
      </c>
      <c r="D11" s="14" t="s">
        <v>363</v>
      </c>
      <c r="E11" s="2" t="s">
        <v>376</v>
      </c>
      <c r="F11"/>
      <c r="G11" s="2" t="s">
        <v>378</v>
      </c>
      <c r="H11"/>
      <c r="I11" s="12" t="s">
        <v>383</v>
      </c>
      <c r="J11" s="2" t="s">
        <v>43</v>
      </c>
      <c r="K11"/>
      <c r="L11"/>
      <c r="M11"/>
      <c r="N11" s="27" t="s">
        <v>379</v>
      </c>
    </row>
    <row r="12" spans="1:14" x14ac:dyDescent="0.25">
      <c r="A12" s="2" t="s">
        <v>114</v>
      </c>
      <c r="B12"/>
      <c r="C12" s="14" t="s">
        <v>3</v>
      </c>
      <c r="D12" s="14" t="s">
        <v>363</v>
      </c>
      <c r="E12" s="2" t="s">
        <v>377</v>
      </c>
      <c r="F12"/>
      <c r="G12" s="12" t="s">
        <v>78</v>
      </c>
      <c r="H12"/>
      <c r="I12" s="12" t="s">
        <v>383</v>
      </c>
      <c r="J12" s="2" t="s">
        <v>78</v>
      </c>
      <c r="K12"/>
      <c r="L12"/>
      <c r="M12"/>
      <c r="N12" s="27" t="s">
        <v>380</v>
      </c>
    </row>
    <row r="13" spans="1:14" x14ac:dyDescent="0.25">
      <c r="A13" s="2" t="s">
        <v>114</v>
      </c>
      <c r="B13"/>
      <c r="C13" s="14" t="s">
        <v>3</v>
      </c>
      <c r="D13" s="14" t="s">
        <v>362</v>
      </c>
      <c r="E13" s="2" t="s">
        <v>376</v>
      </c>
      <c r="F13"/>
      <c r="G13" s="12" t="s">
        <v>43</v>
      </c>
      <c r="H13"/>
      <c r="I13" s="12" t="s">
        <v>383</v>
      </c>
      <c r="J13" s="2" t="s">
        <v>43</v>
      </c>
      <c r="K13"/>
      <c r="L13"/>
      <c r="M13"/>
      <c r="N13" s="27" t="s">
        <v>381</v>
      </c>
    </row>
    <row r="14" spans="1:14" x14ac:dyDescent="0.25">
      <c r="A14" s="2" t="s">
        <v>114</v>
      </c>
      <c r="B14"/>
      <c r="C14" s="14" t="s">
        <v>3</v>
      </c>
      <c r="D14" s="14" t="s">
        <v>362</v>
      </c>
      <c r="E14" s="2" t="s">
        <v>377</v>
      </c>
      <c r="F14"/>
      <c r="G14" s="12" t="s">
        <v>78</v>
      </c>
      <c r="H14"/>
      <c r="I14" s="12" t="s">
        <v>383</v>
      </c>
      <c r="J14" s="2" t="s">
        <v>78</v>
      </c>
      <c r="K14"/>
      <c r="L14"/>
      <c r="M14"/>
      <c r="N14" s="51" t="s">
        <v>493</v>
      </c>
    </row>
    <row r="15" spans="1:14" x14ac:dyDescent="0.25">
      <c r="A15" s="67" t="s">
        <v>132</v>
      </c>
      <c r="B15" t="s">
        <v>1298</v>
      </c>
      <c r="C15" s="14" t="s">
        <v>3</v>
      </c>
      <c r="D15" s="14" t="s">
        <v>362</v>
      </c>
      <c r="E15" s="14" t="s">
        <v>447</v>
      </c>
      <c r="F15" t="s">
        <v>1288</v>
      </c>
      <c r="G15" s="14" t="s">
        <v>447</v>
      </c>
      <c r="H15" t="s">
        <v>1297</v>
      </c>
      <c r="I15" s="14" t="s">
        <v>448</v>
      </c>
      <c r="J15" s="2" t="s">
        <v>450</v>
      </c>
      <c r="K15"/>
      <c r="L15"/>
      <c r="M15" t="s">
        <v>1105</v>
      </c>
      <c r="N15" s="50" t="s">
        <v>826</v>
      </c>
    </row>
    <row r="16" spans="1:14" x14ac:dyDescent="0.25">
      <c r="A16" s="67" t="s">
        <v>132</v>
      </c>
      <c r="B16" t="s">
        <v>1298</v>
      </c>
      <c r="C16" s="14" t="s">
        <v>3</v>
      </c>
      <c r="D16" s="14" t="s">
        <v>362</v>
      </c>
      <c r="E16" s="14" t="s">
        <v>447</v>
      </c>
      <c r="F16" t="s">
        <v>1288</v>
      </c>
      <c r="G16" s="14" t="s">
        <v>449</v>
      </c>
      <c r="H16" t="s">
        <v>1297</v>
      </c>
      <c r="I16" s="14" t="s">
        <v>448</v>
      </c>
      <c r="J16" s="2" t="s">
        <v>450</v>
      </c>
      <c r="K16"/>
      <c r="L16"/>
      <c r="M16" t="s">
        <v>1105</v>
      </c>
      <c r="N16" s="50" t="s">
        <v>826</v>
      </c>
    </row>
    <row r="17" spans="1:14" x14ac:dyDescent="0.25">
      <c r="A17" s="67" t="s">
        <v>132</v>
      </c>
      <c r="B17" t="s">
        <v>1298</v>
      </c>
      <c r="C17" s="14" t="s">
        <v>3</v>
      </c>
      <c r="D17" s="14" t="s">
        <v>362</v>
      </c>
      <c r="E17" s="14" t="s">
        <v>450</v>
      </c>
      <c r="F17" t="s">
        <v>1105</v>
      </c>
      <c r="G17" s="14" t="s">
        <v>450</v>
      </c>
      <c r="H17" t="s">
        <v>1105</v>
      </c>
      <c r="I17" s="14" t="s">
        <v>383</v>
      </c>
      <c r="J17" s="2" t="s">
        <v>450</v>
      </c>
      <c r="K17"/>
      <c r="L17"/>
      <c r="M17" t="s">
        <v>1105</v>
      </c>
      <c r="N17" s="50" t="s">
        <v>826</v>
      </c>
    </row>
    <row r="18" spans="1:14" x14ac:dyDescent="0.25">
      <c r="A18" s="67" t="s">
        <v>132</v>
      </c>
      <c r="B18" t="s">
        <v>1298</v>
      </c>
      <c r="C18" s="14" t="s">
        <v>3</v>
      </c>
      <c r="D18" s="14" t="s">
        <v>362</v>
      </c>
      <c r="E18" s="14" t="s">
        <v>370</v>
      </c>
      <c r="F18" t="s">
        <v>1104</v>
      </c>
      <c r="G18" s="14" t="s">
        <v>370</v>
      </c>
      <c r="H18" t="s">
        <v>1104</v>
      </c>
      <c r="I18" s="14" t="s">
        <v>383</v>
      </c>
      <c r="J18" s="2" t="s">
        <v>450</v>
      </c>
      <c r="K18"/>
      <c r="L18"/>
      <c r="M18" t="s">
        <v>1105</v>
      </c>
      <c r="N18" s="50" t="s">
        <v>1017</v>
      </c>
    </row>
    <row r="19" spans="1:14" x14ac:dyDescent="0.25">
      <c r="A19" s="67" t="s">
        <v>132</v>
      </c>
      <c r="B19" t="s">
        <v>1298</v>
      </c>
      <c r="C19" s="14" t="s">
        <v>3</v>
      </c>
      <c r="D19" s="14" t="s">
        <v>362</v>
      </c>
      <c r="E19" s="14" t="s">
        <v>446</v>
      </c>
      <c r="F19" t="s">
        <v>1103</v>
      </c>
      <c r="G19" s="14" t="s">
        <v>446</v>
      </c>
      <c r="H19" t="s">
        <v>1103</v>
      </c>
      <c r="I19" s="14" t="s">
        <v>383</v>
      </c>
      <c r="J19" s="2" t="s">
        <v>450</v>
      </c>
      <c r="K19"/>
      <c r="L19"/>
      <c r="M19" t="s">
        <v>1105</v>
      </c>
      <c r="N19" s="50" t="s">
        <v>1017</v>
      </c>
    </row>
    <row r="20" spans="1:14" x14ac:dyDescent="0.25">
      <c r="A20" s="67" t="s">
        <v>132</v>
      </c>
      <c r="B20" t="s">
        <v>1298</v>
      </c>
      <c r="C20" s="14" t="s">
        <v>3</v>
      </c>
      <c r="D20" s="14" t="s">
        <v>362</v>
      </c>
      <c r="E20" s="14" t="s">
        <v>453</v>
      </c>
      <c r="F20" t="s">
        <v>424</v>
      </c>
      <c r="G20" s="14" t="s">
        <v>453</v>
      </c>
      <c r="H20" t="s">
        <v>424</v>
      </c>
      <c r="I20" s="14" t="s">
        <v>383</v>
      </c>
      <c r="J20" s="2" t="s">
        <v>450</v>
      </c>
      <c r="K20"/>
      <c r="L20"/>
      <c r="M20" t="s">
        <v>1105</v>
      </c>
      <c r="N20" s="50" t="s">
        <v>841</v>
      </c>
    </row>
    <row r="21" spans="1:14" x14ac:dyDescent="0.25">
      <c r="A21" s="67" t="s">
        <v>132</v>
      </c>
      <c r="B21" t="s">
        <v>1298</v>
      </c>
      <c r="C21" s="14" t="s">
        <v>3</v>
      </c>
      <c r="D21" s="14" t="s">
        <v>362</v>
      </c>
      <c r="E21" s="14" t="s">
        <v>451</v>
      </c>
      <c r="F21" t="s">
        <v>1288</v>
      </c>
      <c r="G21" s="14" t="s">
        <v>451</v>
      </c>
      <c r="H21" t="s">
        <v>1299</v>
      </c>
      <c r="I21" s="14" t="s">
        <v>448</v>
      </c>
      <c r="J21" s="2" t="s">
        <v>450</v>
      </c>
      <c r="K21"/>
      <c r="L21"/>
      <c r="M21" t="s">
        <v>1105</v>
      </c>
      <c r="N21" s="50" t="s">
        <v>827</v>
      </c>
    </row>
    <row r="22" spans="1:14" x14ac:dyDescent="0.25">
      <c r="A22" s="67" t="s">
        <v>132</v>
      </c>
      <c r="B22" t="s">
        <v>1298</v>
      </c>
      <c r="C22" s="14" t="s">
        <v>3</v>
      </c>
      <c r="D22" s="14" t="s">
        <v>362</v>
      </c>
      <c r="E22" s="14" t="s">
        <v>452</v>
      </c>
      <c r="F22" t="s">
        <v>1293</v>
      </c>
      <c r="G22" s="14" t="s">
        <v>452</v>
      </c>
      <c r="H22" t="s">
        <v>1300</v>
      </c>
      <c r="I22" s="14" t="s">
        <v>448</v>
      </c>
      <c r="J22" s="2" t="s">
        <v>450</v>
      </c>
      <c r="K22"/>
      <c r="L22"/>
      <c r="M22" t="s">
        <v>1105</v>
      </c>
      <c r="N22" s="50" t="s">
        <v>827</v>
      </c>
    </row>
    <row r="23" spans="1:14" x14ac:dyDescent="0.25">
      <c r="A23" s="67" t="s">
        <v>132</v>
      </c>
      <c r="B23" t="s">
        <v>1298</v>
      </c>
      <c r="C23" s="14" t="s">
        <v>3</v>
      </c>
      <c r="D23" s="14" t="s">
        <v>362</v>
      </c>
      <c r="E23" s="14" t="s">
        <v>454</v>
      </c>
      <c r="F23" t="s">
        <v>425</v>
      </c>
      <c r="G23" s="14" t="s">
        <v>455</v>
      </c>
      <c r="H23" t="s">
        <v>425</v>
      </c>
      <c r="I23" s="14" t="s">
        <v>383</v>
      </c>
      <c r="J23" s="2" t="s">
        <v>450</v>
      </c>
      <c r="K23"/>
      <c r="L23"/>
      <c r="M23" t="s">
        <v>1105</v>
      </c>
      <c r="N23" s="51" t="s">
        <v>842</v>
      </c>
    </row>
    <row r="24" spans="1:14" x14ac:dyDescent="0.25">
      <c r="A24" s="67" t="s">
        <v>132</v>
      </c>
      <c r="B24" t="s">
        <v>1298</v>
      </c>
      <c r="C24" s="14" t="s">
        <v>3</v>
      </c>
      <c r="D24" s="14" t="s">
        <v>362</v>
      </c>
      <c r="E24" s="14" t="s">
        <v>456</v>
      </c>
      <c r="F24" t="s">
        <v>476</v>
      </c>
      <c r="G24" s="14" t="s">
        <v>472</v>
      </c>
      <c r="H24" t="s">
        <v>1301</v>
      </c>
      <c r="I24" s="14" t="s">
        <v>621</v>
      </c>
      <c r="J24" s="2" t="s">
        <v>450</v>
      </c>
      <c r="K24"/>
      <c r="L24"/>
      <c r="M24" t="s">
        <v>1105</v>
      </c>
      <c r="N24" s="51" t="s">
        <v>828</v>
      </c>
    </row>
    <row r="25" spans="1:14" x14ac:dyDescent="0.25">
      <c r="A25" s="67" t="s">
        <v>132</v>
      </c>
      <c r="B25" t="s">
        <v>1298</v>
      </c>
      <c r="C25" s="14" t="s">
        <v>3</v>
      </c>
      <c r="D25" s="14" t="s">
        <v>362</v>
      </c>
      <c r="E25" s="14" t="s">
        <v>457</v>
      </c>
      <c r="F25" t="s">
        <v>426</v>
      </c>
      <c r="G25" s="14" t="s">
        <v>457</v>
      </c>
      <c r="H25" t="s">
        <v>426</v>
      </c>
      <c r="I25" s="14" t="s">
        <v>383</v>
      </c>
      <c r="J25" s="2" t="s">
        <v>450</v>
      </c>
      <c r="K25"/>
      <c r="L25"/>
      <c r="M25" t="s">
        <v>1105</v>
      </c>
      <c r="N25" s="51" t="s">
        <v>843</v>
      </c>
    </row>
    <row r="26" spans="1:14" x14ac:dyDescent="0.25">
      <c r="A26" s="67" t="s">
        <v>132</v>
      </c>
      <c r="B26" t="s">
        <v>1298</v>
      </c>
      <c r="C26" s="14" t="s">
        <v>3</v>
      </c>
      <c r="D26" s="14" t="s">
        <v>362</v>
      </c>
      <c r="E26" s="14" t="s">
        <v>458</v>
      </c>
      <c r="F26" t="s">
        <v>427</v>
      </c>
      <c r="G26" s="14" t="s">
        <v>458</v>
      </c>
      <c r="H26" t="s">
        <v>427</v>
      </c>
      <c r="I26" s="14" t="s">
        <v>383</v>
      </c>
      <c r="J26" s="2" t="s">
        <v>450</v>
      </c>
      <c r="K26"/>
      <c r="L26"/>
      <c r="M26" t="s">
        <v>1105</v>
      </c>
      <c r="N26" s="51" t="s">
        <v>843</v>
      </c>
    </row>
    <row r="27" spans="1:14" x14ac:dyDescent="0.25">
      <c r="A27" s="67" t="s">
        <v>132</v>
      </c>
      <c r="B27" t="s">
        <v>1298</v>
      </c>
      <c r="C27" s="14" t="s">
        <v>3</v>
      </c>
      <c r="D27" s="14" t="s">
        <v>362</v>
      </c>
      <c r="E27" s="14" t="s">
        <v>459</v>
      </c>
      <c r="F27" t="s">
        <v>1294</v>
      </c>
      <c r="G27" s="14" t="s">
        <v>460</v>
      </c>
      <c r="H27" t="s">
        <v>1302</v>
      </c>
      <c r="I27" s="2" t="s">
        <v>461</v>
      </c>
      <c r="J27" s="2" t="s">
        <v>450</v>
      </c>
      <c r="K27"/>
      <c r="L27"/>
      <c r="M27" t="s">
        <v>1105</v>
      </c>
      <c r="N27" s="51" t="s">
        <v>831</v>
      </c>
    </row>
    <row r="28" spans="1:14" x14ac:dyDescent="0.25">
      <c r="A28" s="67" t="s">
        <v>132</v>
      </c>
      <c r="B28" t="s">
        <v>1298</v>
      </c>
      <c r="C28" s="14" t="s">
        <v>3</v>
      </c>
      <c r="D28" s="14" t="s">
        <v>362</v>
      </c>
      <c r="E28" s="14" t="s">
        <v>462</v>
      </c>
      <c r="F28" t="s">
        <v>428</v>
      </c>
      <c r="G28" s="14" t="s">
        <v>462</v>
      </c>
      <c r="H28" t="s">
        <v>1303</v>
      </c>
      <c r="I28" s="14" t="s">
        <v>726</v>
      </c>
      <c r="J28" s="2" t="s">
        <v>450</v>
      </c>
      <c r="K28"/>
      <c r="L28"/>
      <c r="M28" t="s">
        <v>1105</v>
      </c>
      <c r="N28" s="51" t="s">
        <v>844</v>
      </c>
    </row>
    <row r="29" spans="1:14" x14ac:dyDescent="0.25">
      <c r="A29" s="67" t="s">
        <v>132</v>
      </c>
      <c r="B29" t="s">
        <v>1298</v>
      </c>
      <c r="C29" s="14" t="s">
        <v>3</v>
      </c>
      <c r="D29" s="14" t="s">
        <v>362</v>
      </c>
      <c r="E29" s="14" t="s">
        <v>463</v>
      </c>
      <c r="F29" t="s">
        <v>429</v>
      </c>
      <c r="G29" s="2" t="s">
        <v>463</v>
      </c>
      <c r="H29" t="s">
        <v>429</v>
      </c>
      <c r="I29" s="14" t="s">
        <v>383</v>
      </c>
      <c r="J29" s="2" t="s">
        <v>450</v>
      </c>
      <c r="K29"/>
      <c r="L29"/>
      <c r="M29" t="s">
        <v>1105</v>
      </c>
      <c r="N29" s="51" t="s">
        <v>845</v>
      </c>
    </row>
    <row r="30" spans="1:14" x14ac:dyDescent="0.25">
      <c r="A30" s="67" t="s">
        <v>132</v>
      </c>
      <c r="B30" t="s">
        <v>1298</v>
      </c>
      <c r="C30" s="14" t="s">
        <v>3</v>
      </c>
      <c r="D30" s="14" t="s">
        <v>362</v>
      </c>
      <c r="E30" s="14" t="s">
        <v>464</v>
      </c>
      <c r="F30" t="s">
        <v>1289</v>
      </c>
      <c r="G30" s="14" t="s">
        <v>464</v>
      </c>
      <c r="H30" t="s">
        <v>1289</v>
      </c>
      <c r="I30" s="14" t="s">
        <v>383</v>
      </c>
      <c r="J30" s="2" t="s">
        <v>450</v>
      </c>
      <c r="K30"/>
      <c r="L30"/>
      <c r="M30" t="s">
        <v>1105</v>
      </c>
      <c r="N30" s="51" t="s">
        <v>846</v>
      </c>
    </row>
    <row r="31" spans="1:14" x14ac:dyDescent="0.25">
      <c r="A31" s="67" t="s">
        <v>132</v>
      </c>
      <c r="B31" t="s">
        <v>1298</v>
      </c>
      <c r="C31" s="14" t="s">
        <v>3</v>
      </c>
      <c r="D31" s="14" t="s">
        <v>362</v>
      </c>
      <c r="E31" s="14" t="s">
        <v>465</v>
      </c>
      <c r="F31" t="s">
        <v>1290</v>
      </c>
      <c r="G31" s="14" t="s">
        <v>465</v>
      </c>
      <c r="H31" t="s">
        <v>1290</v>
      </c>
      <c r="I31" s="14" t="s">
        <v>383</v>
      </c>
      <c r="J31" s="2" t="s">
        <v>450</v>
      </c>
      <c r="K31"/>
      <c r="L31"/>
      <c r="M31" t="s">
        <v>1105</v>
      </c>
      <c r="N31" s="51" t="s">
        <v>847</v>
      </c>
    </row>
    <row r="32" spans="1:14" x14ac:dyDescent="0.25">
      <c r="A32" s="67" t="s">
        <v>132</v>
      </c>
      <c r="B32" t="s">
        <v>1298</v>
      </c>
      <c r="C32" s="14" t="s">
        <v>3</v>
      </c>
      <c r="D32" s="14" t="s">
        <v>362</v>
      </c>
      <c r="E32" s="14" t="s">
        <v>466</v>
      </c>
      <c r="F32" t="s">
        <v>1291</v>
      </c>
      <c r="G32" s="14" t="s">
        <v>466</v>
      </c>
      <c r="H32" t="s">
        <v>1304</v>
      </c>
      <c r="I32" s="14" t="s">
        <v>726</v>
      </c>
      <c r="J32" s="2" t="s">
        <v>450</v>
      </c>
      <c r="K32"/>
      <c r="L32"/>
      <c r="M32" t="s">
        <v>1105</v>
      </c>
      <c r="N32" s="51" t="s">
        <v>848</v>
      </c>
    </row>
    <row r="33" spans="1:14" x14ac:dyDescent="0.25">
      <c r="A33" s="67" t="s">
        <v>132</v>
      </c>
      <c r="B33" t="s">
        <v>1298</v>
      </c>
      <c r="C33" s="14" t="s">
        <v>3</v>
      </c>
      <c r="D33" s="14" t="s">
        <v>362</v>
      </c>
      <c r="E33" s="14" t="s">
        <v>467</v>
      </c>
      <c r="F33" t="s">
        <v>1292</v>
      </c>
      <c r="G33" s="14" t="s">
        <v>467</v>
      </c>
      <c r="H33" t="s">
        <v>1292</v>
      </c>
      <c r="I33" s="14" t="s">
        <v>383</v>
      </c>
      <c r="J33" s="2" t="s">
        <v>450</v>
      </c>
      <c r="K33"/>
      <c r="L33"/>
      <c r="M33" t="s">
        <v>1105</v>
      </c>
      <c r="N33" s="51" t="s">
        <v>849</v>
      </c>
    </row>
    <row r="34" spans="1:14" x14ac:dyDescent="0.25">
      <c r="A34" s="67" t="s">
        <v>132</v>
      </c>
      <c r="B34" t="s">
        <v>1298</v>
      </c>
      <c r="C34" s="14" t="s">
        <v>3</v>
      </c>
      <c r="D34" s="14" t="s">
        <v>362</v>
      </c>
      <c r="E34" s="14" t="s">
        <v>468</v>
      </c>
      <c r="F34" t="s">
        <v>1295</v>
      </c>
      <c r="G34" s="14" t="s">
        <v>468</v>
      </c>
      <c r="H34" t="s">
        <v>1305</v>
      </c>
      <c r="I34" s="2" t="s">
        <v>850</v>
      </c>
      <c r="J34" s="2" t="s">
        <v>450</v>
      </c>
      <c r="K34"/>
      <c r="L34"/>
      <c r="M34" t="s">
        <v>1105</v>
      </c>
      <c r="N34" s="51" t="s">
        <v>829</v>
      </c>
    </row>
    <row r="35" spans="1:14" x14ac:dyDescent="0.25">
      <c r="A35" s="67" t="s">
        <v>132</v>
      </c>
      <c r="B35" t="s">
        <v>1298</v>
      </c>
      <c r="C35" s="14" t="s">
        <v>3</v>
      </c>
      <c r="D35" s="14" t="s">
        <v>362</v>
      </c>
      <c r="E35" s="14" t="s">
        <v>469</v>
      </c>
      <c r="F35" t="s">
        <v>1296</v>
      </c>
      <c r="G35" s="14" t="s">
        <v>469</v>
      </c>
      <c r="H35" t="s">
        <v>1296</v>
      </c>
      <c r="I35" s="2" t="s">
        <v>383</v>
      </c>
      <c r="J35" s="2" t="s">
        <v>450</v>
      </c>
      <c r="K35"/>
      <c r="L35"/>
      <c r="M35" t="s">
        <v>1105</v>
      </c>
      <c r="N35" s="51" t="s">
        <v>830</v>
      </c>
    </row>
    <row r="36" spans="1:14" x14ac:dyDescent="0.25">
      <c r="A36" s="67" t="s">
        <v>132</v>
      </c>
      <c r="B36" t="s">
        <v>1298</v>
      </c>
      <c r="C36" s="14" t="s">
        <v>3</v>
      </c>
      <c r="D36" s="14" t="s">
        <v>362</v>
      </c>
      <c r="E36" s="14" t="s">
        <v>470</v>
      </c>
      <c r="F36" t="s">
        <v>1288</v>
      </c>
      <c r="G36" s="14" t="s">
        <v>470</v>
      </c>
      <c r="H36" t="s">
        <v>1299</v>
      </c>
      <c r="I36" s="2" t="s">
        <v>448</v>
      </c>
      <c r="J36" s="2" t="s">
        <v>450</v>
      </c>
      <c r="K36"/>
      <c r="L36"/>
      <c r="M36" t="s">
        <v>1105</v>
      </c>
      <c r="N36" s="51" t="s">
        <v>830</v>
      </c>
    </row>
    <row r="37" spans="1:14" x14ac:dyDescent="0.25">
      <c r="A37" s="67" t="s">
        <v>132</v>
      </c>
      <c r="B37" t="s">
        <v>1298</v>
      </c>
      <c r="C37" s="14" t="s">
        <v>3</v>
      </c>
      <c r="D37" s="14" t="s">
        <v>362</v>
      </c>
      <c r="E37" s="14" t="s">
        <v>471</v>
      </c>
      <c r="F37" t="s">
        <v>1293</v>
      </c>
      <c r="G37" s="14" t="s">
        <v>471</v>
      </c>
      <c r="H37" t="s">
        <v>1300</v>
      </c>
      <c r="I37" s="2" t="s">
        <v>448</v>
      </c>
      <c r="J37" s="2" t="s">
        <v>450</v>
      </c>
      <c r="K37"/>
      <c r="L37"/>
      <c r="M37" t="s">
        <v>1105</v>
      </c>
      <c r="N37" s="51" t="s">
        <v>830</v>
      </c>
    </row>
    <row r="38" spans="1:14" x14ac:dyDescent="0.25">
      <c r="A38" s="14" t="s">
        <v>123</v>
      </c>
      <c r="B38" t="s">
        <v>1298</v>
      </c>
      <c r="C38" s="14" t="s">
        <v>3</v>
      </c>
      <c r="D38" s="14" t="s">
        <v>362</v>
      </c>
      <c r="E38" s="14" t="s">
        <v>446</v>
      </c>
      <c r="F38" t="s">
        <v>1284</v>
      </c>
      <c r="G38" s="14" t="s">
        <v>446</v>
      </c>
      <c r="H38" t="s">
        <v>1284</v>
      </c>
      <c r="I38" s="14" t="s">
        <v>383</v>
      </c>
      <c r="J38" s="2" t="s">
        <v>450</v>
      </c>
      <c r="K38"/>
      <c r="L38"/>
      <c r="M38" t="s">
        <v>1287</v>
      </c>
      <c r="N38" s="50" t="s">
        <v>1018</v>
      </c>
    </row>
    <row r="39" spans="1:14" x14ac:dyDescent="0.25">
      <c r="A39" s="14" t="s">
        <v>123</v>
      </c>
      <c r="B39" t="s">
        <v>1298</v>
      </c>
      <c r="C39" s="14" t="s">
        <v>3</v>
      </c>
      <c r="D39" s="14" t="s">
        <v>362</v>
      </c>
      <c r="E39" s="14" t="s">
        <v>370</v>
      </c>
      <c r="F39" t="s">
        <v>1286</v>
      </c>
      <c r="G39" s="14" t="s">
        <v>370</v>
      </c>
      <c r="H39" t="s">
        <v>1286</v>
      </c>
      <c r="I39" s="14" t="s">
        <v>383</v>
      </c>
      <c r="J39" s="2" t="s">
        <v>450</v>
      </c>
      <c r="K39"/>
      <c r="L39"/>
      <c r="M39" t="s">
        <v>1287</v>
      </c>
      <c r="N39" s="50" t="s">
        <v>1017</v>
      </c>
    </row>
    <row r="40" spans="1:14" x14ac:dyDescent="0.25">
      <c r="A40" s="14" t="s">
        <v>123</v>
      </c>
      <c r="B40" t="s">
        <v>1298</v>
      </c>
      <c r="C40" s="14" t="s">
        <v>3</v>
      </c>
      <c r="D40" s="14" t="s">
        <v>362</v>
      </c>
      <c r="E40" s="14" t="s">
        <v>447</v>
      </c>
      <c r="F40" t="s">
        <v>1288</v>
      </c>
      <c r="G40" s="14" t="s">
        <v>447</v>
      </c>
      <c r="H40" t="s">
        <v>1308</v>
      </c>
      <c r="I40" s="14" t="s">
        <v>448</v>
      </c>
      <c r="J40" s="2" t="s">
        <v>450</v>
      </c>
      <c r="K40"/>
      <c r="L40"/>
      <c r="M40" t="s">
        <v>1287</v>
      </c>
      <c r="N40" s="50" t="s">
        <v>826</v>
      </c>
    </row>
    <row r="41" spans="1:14" x14ac:dyDescent="0.25">
      <c r="A41" s="14" t="s">
        <v>123</v>
      </c>
      <c r="B41" t="s">
        <v>1298</v>
      </c>
      <c r="C41" s="14" t="s">
        <v>3</v>
      </c>
      <c r="D41" s="14" t="s">
        <v>362</v>
      </c>
      <c r="E41" s="14" t="s">
        <v>447</v>
      </c>
      <c r="F41" t="s">
        <v>1288</v>
      </c>
      <c r="G41" s="14" t="s">
        <v>449</v>
      </c>
      <c r="H41" t="s">
        <v>1308</v>
      </c>
      <c r="I41" s="14" t="s">
        <v>448</v>
      </c>
      <c r="J41" s="2" t="s">
        <v>450</v>
      </c>
      <c r="K41"/>
      <c r="L41"/>
      <c r="M41" t="s">
        <v>1287</v>
      </c>
      <c r="N41" s="50" t="s">
        <v>826</v>
      </c>
    </row>
    <row r="42" spans="1:14" x14ac:dyDescent="0.25">
      <c r="A42" s="14" t="s">
        <v>123</v>
      </c>
      <c r="B42" t="s">
        <v>1298</v>
      </c>
      <c r="C42" s="14" t="s">
        <v>3</v>
      </c>
      <c r="D42" s="14" t="s">
        <v>362</v>
      </c>
      <c r="E42" s="14" t="s">
        <v>450</v>
      </c>
      <c r="F42" t="s">
        <v>1287</v>
      </c>
      <c r="G42" s="14" t="s">
        <v>450</v>
      </c>
      <c r="H42" t="s">
        <v>1287</v>
      </c>
      <c r="I42" s="14" t="s">
        <v>383</v>
      </c>
      <c r="J42" s="2" t="s">
        <v>450</v>
      </c>
      <c r="K42"/>
      <c r="L42"/>
      <c r="M42" t="s">
        <v>1287</v>
      </c>
      <c r="N42" s="50" t="s">
        <v>826</v>
      </c>
    </row>
    <row r="43" spans="1:14" x14ac:dyDescent="0.25">
      <c r="A43" s="14" t="s">
        <v>123</v>
      </c>
      <c r="B43" t="s">
        <v>1298</v>
      </c>
      <c r="C43" s="14" t="s">
        <v>3</v>
      </c>
      <c r="D43" s="14" t="s">
        <v>362</v>
      </c>
      <c r="E43" s="14" t="s">
        <v>456</v>
      </c>
      <c r="F43" t="s">
        <v>486</v>
      </c>
      <c r="G43" s="14" t="s">
        <v>472</v>
      </c>
      <c r="H43" t="s">
        <v>1309</v>
      </c>
      <c r="I43" s="14" t="s">
        <v>621</v>
      </c>
      <c r="J43" s="2" t="s">
        <v>450</v>
      </c>
      <c r="K43"/>
      <c r="L43"/>
      <c r="M43" t="s">
        <v>1287</v>
      </c>
      <c r="N43" s="51" t="s">
        <v>828</v>
      </c>
    </row>
    <row r="44" spans="1:14" x14ac:dyDescent="0.25">
      <c r="A44" s="14" t="s">
        <v>123</v>
      </c>
      <c r="B44" t="s">
        <v>1298</v>
      </c>
      <c r="C44" s="14" t="s">
        <v>3</v>
      </c>
      <c r="D44" s="14" t="s">
        <v>362</v>
      </c>
      <c r="E44" s="14" t="s">
        <v>459</v>
      </c>
      <c r="F44" t="s">
        <v>1306</v>
      </c>
      <c r="G44" s="14" t="s">
        <v>460</v>
      </c>
      <c r="H44" t="s">
        <v>1310</v>
      </c>
      <c r="I44" s="2" t="s">
        <v>461</v>
      </c>
      <c r="J44" s="2" t="s">
        <v>450</v>
      </c>
      <c r="K44"/>
      <c r="L44"/>
      <c r="M44" t="s">
        <v>1287</v>
      </c>
      <c r="N44" s="51" t="s">
        <v>831</v>
      </c>
    </row>
    <row r="45" spans="1:14" x14ac:dyDescent="0.25">
      <c r="A45" s="14" t="s">
        <v>123</v>
      </c>
      <c r="B45" t="s">
        <v>1298</v>
      </c>
      <c r="C45" s="14" t="s">
        <v>3</v>
      </c>
      <c r="D45" s="14" t="s">
        <v>362</v>
      </c>
      <c r="E45" s="14" t="s">
        <v>468</v>
      </c>
      <c r="F45" t="s">
        <v>441</v>
      </c>
      <c r="G45" s="14" t="s">
        <v>468</v>
      </c>
      <c r="H45" t="s">
        <v>1311</v>
      </c>
      <c r="I45" s="2" t="s">
        <v>850</v>
      </c>
      <c r="J45" s="2" t="s">
        <v>450</v>
      </c>
      <c r="K45"/>
      <c r="L45"/>
      <c r="M45" t="s">
        <v>1287</v>
      </c>
      <c r="N45" s="51" t="s">
        <v>829</v>
      </c>
    </row>
    <row r="46" spans="1:14" x14ac:dyDescent="0.25">
      <c r="A46" s="14" t="s">
        <v>123</v>
      </c>
      <c r="B46" t="s">
        <v>1298</v>
      </c>
      <c r="C46" s="14" t="s">
        <v>3</v>
      </c>
      <c r="D46" s="14" t="s">
        <v>362</v>
      </c>
      <c r="E46" s="14" t="s">
        <v>469</v>
      </c>
      <c r="F46" t="s">
        <v>1307</v>
      </c>
      <c r="G46" s="14" t="s">
        <v>469</v>
      </c>
      <c r="H46" t="s">
        <v>1307</v>
      </c>
      <c r="I46" s="2" t="s">
        <v>383</v>
      </c>
      <c r="J46" s="2" t="s">
        <v>450</v>
      </c>
      <c r="K46"/>
      <c r="L46"/>
      <c r="M46" t="s">
        <v>1287</v>
      </c>
      <c r="N46" s="51" t="s">
        <v>830</v>
      </c>
    </row>
    <row r="47" spans="1:14" x14ac:dyDescent="0.25">
      <c r="A47" s="14" t="s">
        <v>123</v>
      </c>
      <c r="B47" t="s">
        <v>1298</v>
      </c>
      <c r="C47" s="14" t="s">
        <v>3</v>
      </c>
      <c r="D47" s="14" t="s">
        <v>362</v>
      </c>
      <c r="E47" s="14" t="s">
        <v>470</v>
      </c>
      <c r="F47" t="s">
        <v>1288</v>
      </c>
      <c r="G47" s="14" t="s">
        <v>470</v>
      </c>
      <c r="H47" t="s">
        <v>1299</v>
      </c>
      <c r="I47" s="2" t="s">
        <v>448</v>
      </c>
      <c r="J47" s="2" t="s">
        <v>450</v>
      </c>
      <c r="K47"/>
      <c r="L47"/>
      <c r="M47" t="s">
        <v>1287</v>
      </c>
      <c r="N47" s="51" t="s">
        <v>830</v>
      </c>
    </row>
    <row r="48" spans="1:14" x14ac:dyDescent="0.25">
      <c r="A48" s="54" t="s">
        <v>123</v>
      </c>
      <c r="B48" t="s">
        <v>1298</v>
      </c>
      <c r="C48" s="54" t="s">
        <v>3</v>
      </c>
      <c r="D48" s="54" t="s">
        <v>362</v>
      </c>
      <c r="E48" s="54" t="s">
        <v>471</v>
      </c>
      <c r="F48" t="s">
        <v>1293</v>
      </c>
      <c r="G48" s="54" t="s">
        <v>471</v>
      </c>
      <c r="H48" t="s">
        <v>1300</v>
      </c>
      <c r="I48" s="55" t="s">
        <v>448</v>
      </c>
      <c r="J48" s="2" t="s">
        <v>450</v>
      </c>
      <c r="K48"/>
      <c r="L48"/>
      <c r="M48" t="s">
        <v>1287</v>
      </c>
      <c r="N48" s="51" t="s">
        <v>830</v>
      </c>
    </row>
    <row r="49" spans="1:14" x14ac:dyDescent="0.25">
      <c r="A49" s="54" t="s">
        <v>134</v>
      </c>
      <c r="B49" t="s">
        <v>1298</v>
      </c>
      <c r="C49" s="54" t="s">
        <v>3</v>
      </c>
      <c r="D49" s="54" t="s">
        <v>362</v>
      </c>
      <c r="E49" s="2" t="s">
        <v>490</v>
      </c>
      <c r="F49" t="s">
        <v>1382</v>
      </c>
      <c r="G49" s="2" t="s">
        <v>490</v>
      </c>
      <c r="H49" t="s">
        <v>1382</v>
      </c>
      <c r="I49" s="55" t="s">
        <v>383</v>
      </c>
      <c r="J49" s="55" t="s">
        <v>43</v>
      </c>
      <c r="K49" t="s">
        <v>1382</v>
      </c>
      <c r="L49"/>
      <c r="M49"/>
      <c r="N49" s="51" t="s">
        <v>560</v>
      </c>
    </row>
    <row r="50" spans="1:14" x14ac:dyDescent="0.25">
      <c r="A50" s="54" t="s">
        <v>134</v>
      </c>
      <c r="B50" t="s">
        <v>1298</v>
      </c>
      <c r="C50" s="54" t="s">
        <v>3</v>
      </c>
      <c r="D50" s="54" t="s">
        <v>362</v>
      </c>
      <c r="E50" s="2" t="s">
        <v>535</v>
      </c>
      <c r="F50" t="s">
        <v>770</v>
      </c>
      <c r="G50" s="2" t="s">
        <v>535</v>
      </c>
      <c r="H50" t="s">
        <v>1313</v>
      </c>
      <c r="I50" s="55" t="s">
        <v>383</v>
      </c>
      <c r="J50" s="55" t="s">
        <v>43</v>
      </c>
      <c r="K50" t="s">
        <v>1382</v>
      </c>
      <c r="L50"/>
      <c r="M50"/>
      <c r="N50" s="51" t="s">
        <v>560</v>
      </c>
    </row>
    <row r="51" spans="1:14" x14ac:dyDescent="0.25">
      <c r="A51" s="54" t="s">
        <v>135</v>
      </c>
      <c r="B51" t="s">
        <v>1312</v>
      </c>
      <c r="C51" s="54" t="s">
        <v>3</v>
      </c>
      <c r="D51" s="54" t="s">
        <v>362</v>
      </c>
      <c r="E51" s="2" t="s">
        <v>535</v>
      </c>
      <c r="F51"/>
      <c r="G51" s="2" t="s">
        <v>566</v>
      </c>
      <c r="H51"/>
      <c r="I51" s="55" t="s">
        <v>383</v>
      </c>
      <c r="J51" s="55" t="s">
        <v>78</v>
      </c>
      <c r="K51"/>
      <c r="L51" t="s">
        <v>1422</v>
      </c>
      <c r="M51"/>
      <c r="N51" s="51" t="s">
        <v>572</v>
      </c>
    </row>
    <row r="52" spans="1:14" x14ac:dyDescent="0.25">
      <c r="A52" s="54" t="s">
        <v>135</v>
      </c>
      <c r="B52" t="s">
        <v>1312</v>
      </c>
      <c r="C52" s="54" t="s">
        <v>3</v>
      </c>
      <c r="D52" s="54" t="s">
        <v>362</v>
      </c>
      <c r="E52" s="2" t="s">
        <v>536</v>
      </c>
      <c r="F52"/>
      <c r="G52" s="2" t="s">
        <v>567</v>
      </c>
      <c r="H52"/>
      <c r="I52" s="55" t="s">
        <v>383</v>
      </c>
      <c r="J52" s="55" t="s">
        <v>78</v>
      </c>
      <c r="K52"/>
      <c r="L52" t="s">
        <v>1422</v>
      </c>
      <c r="M52"/>
      <c r="N52" s="51" t="s">
        <v>572</v>
      </c>
    </row>
    <row r="53" spans="1:14" x14ac:dyDescent="0.25">
      <c r="A53" s="54" t="s">
        <v>135</v>
      </c>
      <c r="B53" t="s">
        <v>1312</v>
      </c>
      <c r="C53" s="54" t="s">
        <v>3</v>
      </c>
      <c r="D53" s="54" t="s">
        <v>362</v>
      </c>
      <c r="E53" s="2" t="s">
        <v>568</v>
      </c>
      <c r="F53"/>
      <c r="G53" s="2" t="s">
        <v>568</v>
      </c>
      <c r="H53"/>
      <c r="I53" s="55" t="s">
        <v>448</v>
      </c>
      <c r="J53" s="55" t="s">
        <v>78</v>
      </c>
      <c r="K53"/>
      <c r="L53" t="s">
        <v>1422</v>
      </c>
      <c r="M53"/>
      <c r="N53" s="51" t="s">
        <v>572</v>
      </c>
    </row>
    <row r="54" spans="1:14" x14ac:dyDescent="0.25">
      <c r="A54" s="54" t="s">
        <v>135</v>
      </c>
      <c r="B54" t="s">
        <v>1312</v>
      </c>
      <c r="C54" s="54" t="s">
        <v>3</v>
      </c>
      <c r="D54" s="54" t="s">
        <v>362</v>
      </c>
      <c r="E54" s="2" t="s">
        <v>513</v>
      </c>
      <c r="F54"/>
      <c r="G54" s="2" t="s">
        <v>513</v>
      </c>
      <c r="H54"/>
      <c r="I54" s="55" t="s">
        <v>448</v>
      </c>
      <c r="J54" s="55" t="s">
        <v>78</v>
      </c>
      <c r="K54"/>
      <c r="L54" t="s">
        <v>1422</v>
      </c>
      <c r="M54"/>
      <c r="N54" s="51" t="s">
        <v>572</v>
      </c>
    </row>
    <row r="55" spans="1:14" x14ac:dyDescent="0.25">
      <c r="A55" s="54" t="s">
        <v>135</v>
      </c>
      <c r="B55" t="s">
        <v>1312</v>
      </c>
      <c r="C55" s="54" t="s">
        <v>3</v>
      </c>
      <c r="D55" s="54" t="s">
        <v>362</v>
      </c>
      <c r="E55" s="2" t="s">
        <v>569</v>
      </c>
      <c r="F55"/>
      <c r="G55" s="2" t="s">
        <v>569</v>
      </c>
      <c r="H55"/>
      <c r="I55" s="55" t="s">
        <v>448</v>
      </c>
      <c r="J55" s="55" t="s">
        <v>78</v>
      </c>
      <c r="K55"/>
      <c r="L55" t="s">
        <v>1422</v>
      </c>
      <c r="M55"/>
      <c r="N55" s="51" t="s">
        <v>572</v>
      </c>
    </row>
    <row r="56" spans="1:14" x14ac:dyDescent="0.25">
      <c r="A56" s="54" t="s">
        <v>135</v>
      </c>
      <c r="B56" t="s">
        <v>1312</v>
      </c>
      <c r="C56" s="54" t="s">
        <v>3</v>
      </c>
      <c r="D56" s="54" t="s">
        <v>362</v>
      </c>
      <c r="E56" s="2" t="s">
        <v>570</v>
      </c>
      <c r="F56" t="s">
        <v>1422</v>
      </c>
      <c r="G56" s="2" t="s">
        <v>571</v>
      </c>
      <c r="H56"/>
      <c r="I56" s="55" t="s">
        <v>383</v>
      </c>
      <c r="J56" s="55" t="s">
        <v>78</v>
      </c>
      <c r="K56"/>
      <c r="L56" t="s">
        <v>1422</v>
      </c>
      <c r="M56"/>
      <c r="N56" s="51" t="s">
        <v>572</v>
      </c>
    </row>
    <row r="57" spans="1:14" x14ac:dyDescent="0.25">
      <c r="A57" s="54" t="s">
        <v>136</v>
      </c>
      <c r="B57"/>
      <c r="C57" s="54" t="s">
        <v>3</v>
      </c>
      <c r="D57" s="54" t="s">
        <v>362</v>
      </c>
      <c r="E57" s="2" t="s">
        <v>535</v>
      </c>
      <c r="F57"/>
      <c r="G57" s="2" t="s">
        <v>566</v>
      </c>
      <c r="H57"/>
      <c r="I57" s="55" t="s">
        <v>383</v>
      </c>
      <c r="J57" s="55" t="s">
        <v>78</v>
      </c>
      <c r="K57"/>
      <c r="L57"/>
      <c r="M57"/>
      <c r="N57" s="51" t="s">
        <v>572</v>
      </c>
    </row>
    <row r="58" spans="1:14" x14ac:dyDescent="0.25">
      <c r="A58" s="54" t="s">
        <v>136</v>
      </c>
      <c r="B58"/>
      <c r="C58" s="54" t="s">
        <v>3</v>
      </c>
      <c r="D58" s="54" t="s">
        <v>362</v>
      </c>
      <c r="E58" s="2" t="s">
        <v>536</v>
      </c>
      <c r="F58"/>
      <c r="G58" s="2" t="s">
        <v>567</v>
      </c>
      <c r="H58"/>
      <c r="I58" s="55" t="s">
        <v>383</v>
      </c>
      <c r="J58" s="55" t="s">
        <v>78</v>
      </c>
      <c r="K58"/>
      <c r="L58"/>
      <c r="M58"/>
      <c r="N58" s="51" t="s">
        <v>572</v>
      </c>
    </row>
    <row r="59" spans="1:14" x14ac:dyDescent="0.25">
      <c r="A59" s="54" t="s">
        <v>136</v>
      </c>
      <c r="B59"/>
      <c r="C59" s="54" t="s">
        <v>3</v>
      </c>
      <c r="D59" s="54" t="s">
        <v>362</v>
      </c>
      <c r="E59" s="2" t="s">
        <v>568</v>
      </c>
      <c r="F59"/>
      <c r="G59" s="2" t="s">
        <v>568</v>
      </c>
      <c r="H59"/>
      <c r="I59" s="55" t="s">
        <v>448</v>
      </c>
      <c r="J59" s="55" t="s">
        <v>78</v>
      </c>
      <c r="K59"/>
      <c r="L59"/>
      <c r="M59"/>
      <c r="N59" s="51" t="s">
        <v>572</v>
      </c>
    </row>
    <row r="60" spans="1:14" x14ac:dyDescent="0.25">
      <c r="A60" s="54" t="s">
        <v>136</v>
      </c>
      <c r="B60"/>
      <c r="C60" s="54" t="s">
        <v>3</v>
      </c>
      <c r="D60" s="54" t="s">
        <v>362</v>
      </c>
      <c r="E60" s="2" t="s">
        <v>513</v>
      </c>
      <c r="F60"/>
      <c r="G60" s="2" t="s">
        <v>513</v>
      </c>
      <c r="H60"/>
      <c r="I60" s="55" t="s">
        <v>448</v>
      </c>
      <c r="J60" s="55" t="s">
        <v>78</v>
      </c>
      <c r="K60"/>
      <c r="L60"/>
      <c r="M60"/>
      <c r="N60" s="51" t="s">
        <v>572</v>
      </c>
    </row>
    <row r="61" spans="1:14" x14ac:dyDescent="0.25">
      <c r="A61" s="54" t="s">
        <v>136</v>
      </c>
      <c r="B61"/>
      <c r="C61" s="54" t="s">
        <v>3</v>
      </c>
      <c r="D61" s="54" t="s">
        <v>362</v>
      </c>
      <c r="E61" s="2" t="s">
        <v>569</v>
      </c>
      <c r="F61"/>
      <c r="G61" s="2" t="s">
        <v>569</v>
      </c>
      <c r="H61"/>
      <c r="I61" s="55" t="s">
        <v>448</v>
      </c>
      <c r="J61" s="55" t="s">
        <v>78</v>
      </c>
      <c r="K61"/>
      <c r="L61" s="55"/>
      <c r="M61"/>
      <c r="N61" s="51" t="s">
        <v>572</v>
      </c>
    </row>
    <row r="62" spans="1:14" x14ac:dyDescent="0.25">
      <c r="A62" s="54" t="s">
        <v>136</v>
      </c>
      <c r="B62"/>
      <c r="C62" s="54" t="s">
        <v>3</v>
      </c>
      <c r="D62" s="54" t="s">
        <v>362</v>
      </c>
      <c r="E62" s="2" t="s">
        <v>570</v>
      </c>
      <c r="F62"/>
      <c r="G62" s="2" t="s">
        <v>571</v>
      </c>
      <c r="H62"/>
      <c r="I62" s="55" t="s">
        <v>383</v>
      </c>
      <c r="J62" s="55" t="s">
        <v>78</v>
      </c>
      <c r="K62"/>
      <c r="L62" s="55"/>
      <c r="M62"/>
      <c r="N62" s="51" t="s">
        <v>572</v>
      </c>
    </row>
    <row r="63" spans="1:14" x14ac:dyDescent="0.25">
      <c r="A63" s="54" t="s">
        <v>157</v>
      </c>
      <c r="B63" t="s">
        <v>1312</v>
      </c>
      <c r="C63" s="54" t="s">
        <v>3</v>
      </c>
      <c r="D63" s="54" t="s">
        <v>362</v>
      </c>
      <c r="E63" s="2" t="s">
        <v>566</v>
      </c>
      <c r="F63" t="s">
        <v>1315</v>
      </c>
      <c r="G63" s="2" t="s">
        <v>566</v>
      </c>
      <c r="H63"/>
      <c r="I63" s="55" t="s">
        <v>383</v>
      </c>
      <c r="J63" s="55" t="s">
        <v>78</v>
      </c>
      <c r="K63"/>
      <c r="L63" t="s">
        <v>1384</v>
      </c>
      <c r="M63"/>
      <c r="N63" s="51" t="s">
        <v>572</v>
      </c>
    </row>
    <row r="64" spans="1:14" x14ac:dyDescent="0.25">
      <c r="A64" s="54" t="s">
        <v>157</v>
      </c>
      <c r="B64" t="s">
        <v>1312</v>
      </c>
      <c r="C64" s="54" t="s">
        <v>3</v>
      </c>
      <c r="D64" s="54" t="s">
        <v>362</v>
      </c>
      <c r="E64" s="2" t="s">
        <v>567</v>
      </c>
      <c r="F64" t="s">
        <v>1316</v>
      </c>
      <c r="G64" s="2" t="s">
        <v>567</v>
      </c>
      <c r="H64"/>
      <c r="I64" s="55" t="s">
        <v>383</v>
      </c>
      <c r="J64" s="55" t="s">
        <v>78</v>
      </c>
      <c r="K64"/>
      <c r="L64" t="s">
        <v>1384</v>
      </c>
      <c r="M64"/>
      <c r="N64" s="51" t="s">
        <v>572</v>
      </c>
    </row>
    <row r="65" spans="1:14" x14ac:dyDescent="0.25">
      <c r="A65" s="54" t="s">
        <v>157</v>
      </c>
      <c r="B65" t="s">
        <v>1312</v>
      </c>
      <c r="C65" s="54" t="s">
        <v>3</v>
      </c>
      <c r="D65" s="54" t="s">
        <v>362</v>
      </c>
      <c r="E65" s="2" t="s">
        <v>568</v>
      </c>
      <c r="F65" t="s">
        <v>1383</v>
      </c>
      <c r="G65" s="2" t="s">
        <v>568</v>
      </c>
      <c r="H65"/>
      <c r="I65" s="55" t="s">
        <v>448</v>
      </c>
      <c r="J65" s="55" t="s">
        <v>78</v>
      </c>
      <c r="K65"/>
      <c r="L65" t="s">
        <v>1384</v>
      </c>
      <c r="M65"/>
      <c r="N65" s="51" t="s">
        <v>572</v>
      </c>
    </row>
    <row r="66" spans="1:14" x14ac:dyDescent="0.25">
      <c r="A66" s="54" t="s">
        <v>157</v>
      </c>
      <c r="B66" t="s">
        <v>1312</v>
      </c>
      <c r="C66" s="54" t="s">
        <v>3</v>
      </c>
      <c r="D66" s="54" t="s">
        <v>362</v>
      </c>
      <c r="E66" s="2" t="s">
        <v>513</v>
      </c>
      <c r="F66" t="s">
        <v>1383</v>
      </c>
      <c r="G66" s="2" t="s">
        <v>513</v>
      </c>
      <c r="H66"/>
      <c r="I66" s="55" t="s">
        <v>448</v>
      </c>
      <c r="J66" s="55" t="s">
        <v>78</v>
      </c>
      <c r="K66"/>
      <c r="L66" t="s">
        <v>1384</v>
      </c>
      <c r="M66"/>
      <c r="N66" s="51" t="s">
        <v>572</v>
      </c>
    </row>
    <row r="67" spans="1:14" x14ac:dyDescent="0.25">
      <c r="A67" s="54" t="s">
        <v>157</v>
      </c>
      <c r="B67" t="s">
        <v>1312</v>
      </c>
      <c r="C67" s="54" t="s">
        <v>3</v>
      </c>
      <c r="D67" s="54" t="s">
        <v>362</v>
      </c>
      <c r="E67" s="2" t="s">
        <v>569</v>
      </c>
      <c r="F67" t="s">
        <v>1383</v>
      </c>
      <c r="G67" s="2" t="s">
        <v>569</v>
      </c>
      <c r="H67"/>
      <c r="I67" s="55" t="s">
        <v>448</v>
      </c>
      <c r="J67" s="55" t="s">
        <v>78</v>
      </c>
      <c r="K67"/>
      <c r="L67" t="s">
        <v>1384</v>
      </c>
      <c r="M67"/>
      <c r="N67" s="51" t="s">
        <v>572</v>
      </c>
    </row>
    <row r="68" spans="1:14" x14ac:dyDescent="0.25">
      <c r="A68" s="54" t="s">
        <v>157</v>
      </c>
      <c r="B68" t="s">
        <v>1312</v>
      </c>
      <c r="C68" s="54" t="s">
        <v>3</v>
      </c>
      <c r="D68" s="54" t="s">
        <v>362</v>
      </c>
      <c r="E68" s="2" t="s">
        <v>570</v>
      </c>
      <c r="F68" t="s">
        <v>1384</v>
      </c>
      <c r="G68" s="2" t="s">
        <v>571</v>
      </c>
      <c r="H68"/>
      <c r="I68" s="55" t="s">
        <v>383</v>
      </c>
      <c r="J68" s="55" t="s">
        <v>78</v>
      </c>
      <c r="K68"/>
      <c r="L68" t="s">
        <v>1384</v>
      </c>
      <c r="M68"/>
      <c r="N68" s="51" t="s">
        <v>572</v>
      </c>
    </row>
    <row r="69" spans="1:14" x14ac:dyDescent="0.25">
      <c r="A69" s="54" t="s">
        <v>157</v>
      </c>
      <c r="B69" t="s">
        <v>1312</v>
      </c>
      <c r="C69" s="54" t="s">
        <v>3</v>
      </c>
      <c r="D69" s="54" t="s">
        <v>362</v>
      </c>
      <c r="E69" s="2" t="s">
        <v>570</v>
      </c>
      <c r="F69" t="s">
        <v>1384</v>
      </c>
      <c r="G69" s="2" t="s">
        <v>584</v>
      </c>
      <c r="H69"/>
      <c r="I69" s="55" t="s">
        <v>383</v>
      </c>
      <c r="J69" s="55" t="s">
        <v>78</v>
      </c>
      <c r="K69"/>
      <c r="L69" t="s">
        <v>1384</v>
      </c>
      <c r="M69"/>
      <c r="N69" s="51" t="s">
        <v>583</v>
      </c>
    </row>
    <row r="70" spans="1:14" x14ac:dyDescent="0.25">
      <c r="A70" s="54" t="s">
        <v>157</v>
      </c>
      <c r="B70" t="s">
        <v>1312</v>
      </c>
      <c r="C70" s="54" t="s">
        <v>3</v>
      </c>
      <c r="D70" s="54" t="s">
        <v>362</v>
      </c>
      <c r="E70" s="2" t="s">
        <v>582</v>
      </c>
      <c r="F70"/>
      <c r="G70" s="2" t="s">
        <v>582</v>
      </c>
      <c r="H70"/>
      <c r="I70" s="55" t="s">
        <v>383</v>
      </c>
      <c r="J70" s="55" t="s">
        <v>78</v>
      </c>
      <c r="K70"/>
      <c r="L70" t="s">
        <v>1384</v>
      </c>
      <c r="M70"/>
      <c r="N70" s="51" t="s">
        <v>583</v>
      </c>
    </row>
    <row r="71" spans="1:14" x14ac:dyDescent="0.25">
      <c r="A71" s="54" t="s">
        <v>172</v>
      </c>
      <c r="B71" t="s">
        <v>1312</v>
      </c>
      <c r="C71" s="54" t="s">
        <v>3</v>
      </c>
      <c r="D71" s="54" t="s">
        <v>362</v>
      </c>
      <c r="E71" s="73" t="s">
        <v>566</v>
      </c>
      <c r="F71" t="s">
        <v>588</v>
      </c>
      <c r="G71" s="2" t="s">
        <v>566</v>
      </c>
      <c r="H71"/>
      <c r="I71" s="55" t="s">
        <v>383</v>
      </c>
      <c r="J71" s="55" t="s">
        <v>78</v>
      </c>
      <c r="K71"/>
      <c r="L71" t="s">
        <v>1317</v>
      </c>
      <c r="M71"/>
      <c r="N71" s="51" t="s">
        <v>572</v>
      </c>
    </row>
    <row r="72" spans="1:14" x14ac:dyDescent="0.25">
      <c r="A72" s="54" t="s">
        <v>172</v>
      </c>
      <c r="B72" t="s">
        <v>1312</v>
      </c>
      <c r="C72" s="54" t="s">
        <v>3</v>
      </c>
      <c r="D72" s="54" t="s">
        <v>362</v>
      </c>
      <c r="E72" s="73" t="s">
        <v>567</v>
      </c>
      <c r="F72" t="s">
        <v>1316</v>
      </c>
      <c r="G72" s="2" t="s">
        <v>567</v>
      </c>
      <c r="H72"/>
      <c r="I72" s="55" t="s">
        <v>383</v>
      </c>
      <c r="J72" s="55" t="s">
        <v>78</v>
      </c>
      <c r="K72"/>
      <c r="L72" t="s">
        <v>1317</v>
      </c>
      <c r="M72"/>
      <c r="N72" s="51" t="s">
        <v>572</v>
      </c>
    </row>
    <row r="73" spans="1:14" x14ac:dyDescent="0.25">
      <c r="A73" s="54" t="s">
        <v>172</v>
      </c>
      <c r="B73" t="s">
        <v>1312</v>
      </c>
      <c r="C73" s="54" t="s">
        <v>3</v>
      </c>
      <c r="D73" s="54" t="s">
        <v>362</v>
      </c>
      <c r="E73" s="73" t="s">
        <v>568</v>
      </c>
      <c r="F73" t="s">
        <v>1288</v>
      </c>
      <c r="G73" s="2" t="s">
        <v>568</v>
      </c>
      <c r="H73"/>
      <c r="I73" s="55" t="s">
        <v>448</v>
      </c>
      <c r="J73" s="55" t="s">
        <v>78</v>
      </c>
      <c r="K73"/>
      <c r="L73" t="s">
        <v>1317</v>
      </c>
      <c r="M73"/>
      <c r="N73" s="51" t="s">
        <v>572</v>
      </c>
    </row>
    <row r="74" spans="1:14" x14ac:dyDescent="0.25">
      <c r="A74" s="54" t="s">
        <v>172</v>
      </c>
      <c r="B74" t="s">
        <v>1312</v>
      </c>
      <c r="C74" s="54" t="s">
        <v>3</v>
      </c>
      <c r="D74" s="54" t="s">
        <v>362</v>
      </c>
      <c r="E74" s="73" t="s">
        <v>513</v>
      </c>
      <c r="F74" t="s">
        <v>1288</v>
      </c>
      <c r="G74" s="2" t="s">
        <v>513</v>
      </c>
      <c r="H74"/>
      <c r="I74" s="55" t="s">
        <v>448</v>
      </c>
      <c r="J74" s="55" t="s">
        <v>78</v>
      </c>
      <c r="K74"/>
      <c r="L74" t="s">
        <v>1317</v>
      </c>
      <c r="M74"/>
      <c r="N74" s="51" t="s">
        <v>572</v>
      </c>
    </row>
    <row r="75" spans="1:14" x14ac:dyDescent="0.25">
      <c r="A75" s="54" t="s">
        <v>172</v>
      </c>
      <c r="B75" t="s">
        <v>1312</v>
      </c>
      <c r="C75" s="54" t="s">
        <v>3</v>
      </c>
      <c r="D75" s="54" t="s">
        <v>362</v>
      </c>
      <c r="E75" s="73" t="s">
        <v>569</v>
      </c>
      <c r="F75" t="s">
        <v>1288</v>
      </c>
      <c r="G75" s="2" t="s">
        <v>569</v>
      </c>
      <c r="H75"/>
      <c r="I75" s="55" t="s">
        <v>448</v>
      </c>
      <c r="J75" s="55" t="s">
        <v>78</v>
      </c>
      <c r="K75"/>
      <c r="L75" t="s">
        <v>1317</v>
      </c>
      <c r="M75"/>
      <c r="N75" s="51" t="s">
        <v>572</v>
      </c>
    </row>
    <row r="76" spans="1:14" x14ac:dyDescent="0.25">
      <c r="A76" s="54" t="s">
        <v>172</v>
      </c>
      <c r="B76" t="s">
        <v>1312</v>
      </c>
      <c r="C76" s="54" t="s">
        <v>3</v>
      </c>
      <c r="D76" s="54" t="s">
        <v>362</v>
      </c>
      <c r="E76" s="73" t="s">
        <v>570</v>
      </c>
      <c r="F76" t="s">
        <v>1317</v>
      </c>
      <c r="G76" s="2" t="s">
        <v>571</v>
      </c>
      <c r="H76"/>
      <c r="I76" s="2" t="s">
        <v>383</v>
      </c>
      <c r="J76" s="55" t="s">
        <v>78</v>
      </c>
      <c r="K76"/>
      <c r="L76" t="s">
        <v>1317</v>
      </c>
      <c r="M76"/>
      <c r="N76" s="51" t="s">
        <v>572</v>
      </c>
    </row>
    <row r="77" spans="1:14" x14ac:dyDescent="0.25">
      <c r="A77" s="54" t="s">
        <v>172</v>
      </c>
      <c r="B77" t="s">
        <v>1312</v>
      </c>
      <c r="C77" s="54" t="s">
        <v>3</v>
      </c>
      <c r="D77" s="54" t="s">
        <v>362</v>
      </c>
      <c r="E77" s="73" t="s">
        <v>609</v>
      </c>
      <c r="F77" t="s">
        <v>598</v>
      </c>
      <c r="G77" s="2" t="s">
        <v>609</v>
      </c>
      <c r="H77"/>
      <c r="I77" s="2" t="s">
        <v>383</v>
      </c>
      <c r="J77" s="55" t="s">
        <v>78</v>
      </c>
      <c r="K77"/>
      <c r="L77" t="s">
        <v>1317</v>
      </c>
      <c r="M77"/>
      <c r="N77" s="51" t="s">
        <v>635</v>
      </c>
    </row>
    <row r="78" spans="1:14" x14ac:dyDescent="0.25">
      <c r="A78" s="54" t="s">
        <v>172</v>
      </c>
      <c r="B78" t="s">
        <v>1312</v>
      </c>
      <c r="C78" s="54" t="s">
        <v>3</v>
      </c>
      <c r="D78" s="54" t="s">
        <v>362</v>
      </c>
      <c r="E78" s="73" t="s">
        <v>610</v>
      </c>
      <c r="F78" t="s">
        <v>126</v>
      </c>
      <c r="G78" s="2" t="s">
        <v>610</v>
      </c>
      <c r="H78"/>
      <c r="I78" s="2" t="s">
        <v>616</v>
      </c>
      <c r="J78" s="55" t="s">
        <v>78</v>
      </c>
      <c r="K78"/>
      <c r="L78" t="s">
        <v>1317</v>
      </c>
      <c r="M78"/>
      <c r="N78" s="51" t="s">
        <v>635</v>
      </c>
    </row>
    <row r="79" spans="1:14" x14ac:dyDescent="0.25">
      <c r="A79" s="54" t="s">
        <v>172</v>
      </c>
      <c r="B79" t="s">
        <v>1312</v>
      </c>
      <c r="C79" s="54" t="s">
        <v>3</v>
      </c>
      <c r="D79" s="54" t="s">
        <v>362</v>
      </c>
      <c r="E79" s="73" t="s">
        <v>611</v>
      </c>
      <c r="F79" t="s">
        <v>270</v>
      </c>
      <c r="G79" s="2" t="s">
        <v>611</v>
      </c>
      <c r="H79"/>
      <c r="I79" s="2" t="s">
        <v>383</v>
      </c>
      <c r="J79" s="55" t="s">
        <v>78</v>
      </c>
      <c r="K79"/>
      <c r="L79" t="s">
        <v>1317</v>
      </c>
      <c r="M79"/>
      <c r="N79" s="51" t="s">
        <v>635</v>
      </c>
    </row>
    <row r="80" spans="1:14" x14ac:dyDescent="0.25">
      <c r="A80" s="54" t="s">
        <v>172</v>
      </c>
      <c r="B80" t="s">
        <v>1312</v>
      </c>
      <c r="C80" s="54" t="s">
        <v>3</v>
      </c>
      <c r="D80" s="54" t="s">
        <v>362</v>
      </c>
      <c r="E80" s="73" t="s">
        <v>570</v>
      </c>
      <c r="F80" t="s">
        <v>1317</v>
      </c>
      <c r="G80" s="2" t="s">
        <v>584</v>
      </c>
      <c r="H80"/>
      <c r="I80" s="2" t="s">
        <v>383</v>
      </c>
      <c r="J80" s="55" t="s">
        <v>78</v>
      </c>
      <c r="K80"/>
      <c r="L80" t="s">
        <v>1317</v>
      </c>
      <c r="M80"/>
      <c r="N80" s="51" t="s">
        <v>635</v>
      </c>
    </row>
    <row r="81" spans="1:14" x14ac:dyDescent="0.25">
      <c r="A81" s="54" t="s">
        <v>172</v>
      </c>
      <c r="B81" t="s">
        <v>1312</v>
      </c>
      <c r="C81" s="54" t="s">
        <v>3</v>
      </c>
      <c r="D81" s="54" t="s">
        <v>362</v>
      </c>
      <c r="E81" s="73" t="s">
        <v>570</v>
      </c>
      <c r="F81" t="s">
        <v>1317</v>
      </c>
      <c r="G81" s="2" t="s">
        <v>614</v>
      </c>
      <c r="H81"/>
      <c r="I81" s="2" t="s">
        <v>383</v>
      </c>
      <c r="J81" s="55" t="s">
        <v>78</v>
      </c>
      <c r="K81"/>
      <c r="L81" t="s">
        <v>1317</v>
      </c>
      <c r="M81"/>
      <c r="N81" s="51" t="s">
        <v>636</v>
      </c>
    </row>
    <row r="82" spans="1:14" x14ac:dyDescent="0.25">
      <c r="A82" s="54" t="s">
        <v>172</v>
      </c>
      <c r="B82" t="s">
        <v>1312</v>
      </c>
      <c r="C82" s="54" t="s">
        <v>3</v>
      </c>
      <c r="D82" s="54" t="s">
        <v>362</v>
      </c>
      <c r="E82" s="73" t="s">
        <v>525</v>
      </c>
      <c r="F82" t="s">
        <v>1319</v>
      </c>
      <c r="G82" s="2" t="s">
        <v>525</v>
      </c>
      <c r="H82"/>
      <c r="I82" s="2" t="s">
        <v>383</v>
      </c>
      <c r="J82" s="55" t="s">
        <v>78</v>
      </c>
      <c r="K82"/>
      <c r="L82" t="s">
        <v>1317</v>
      </c>
      <c r="M82"/>
      <c r="N82" s="51" t="s">
        <v>636</v>
      </c>
    </row>
    <row r="83" spans="1:14" x14ac:dyDescent="0.25">
      <c r="A83" s="54" t="s">
        <v>172</v>
      </c>
      <c r="B83" t="s">
        <v>1312</v>
      </c>
      <c r="C83" s="54" t="s">
        <v>3</v>
      </c>
      <c r="D83" s="54" t="s">
        <v>362</v>
      </c>
      <c r="E83" s="73" t="s">
        <v>613</v>
      </c>
      <c r="F83" t="s">
        <v>1320</v>
      </c>
      <c r="G83" s="2" t="s">
        <v>613</v>
      </c>
      <c r="H83"/>
      <c r="I83" s="2" t="s">
        <v>1044</v>
      </c>
      <c r="J83" s="55" t="s">
        <v>78</v>
      </c>
      <c r="K83"/>
      <c r="L83" t="s">
        <v>1317</v>
      </c>
      <c r="M83"/>
      <c r="N83" s="51" t="s">
        <v>636</v>
      </c>
    </row>
    <row r="84" spans="1:14" x14ac:dyDescent="0.25">
      <c r="A84" s="54" t="s">
        <v>172</v>
      </c>
      <c r="B84" t="s">
        <v>1312</v>
      </c>
      <c r="C84" s="54" t="s">
        <v>3</v>
      </c>
      <c r="D84" s="54" t="s">
        <v>362</v>
      </c>
      <c r="E84" s="73" t="s">
        <v>570</v>
      </c>
      <c r="F84" t="s">
        <v>1317</v>
      </c>
      <c r="G84" s="2" t="s">
        <v>620</v>
      </c>
      <c r="H84"/>
      <c r="I84" s="2" t="s">
        <v>383</v>
      </c>
      <c r="J84" s="55" t="s">
        <v>78</v>
      </c>
      <c r="K84"/>
      <c r="L84" t="s">
        <v>1317</v>
      </c>
      <c r="M84"/>
      <c r="N84" s="51" t="s">
        <v>637</v>
      </c>
    </row>
    <row r="85" spans="1:14" x14ac:dyDescent="0.25">
      <c r="A85" s="54" t="s">
        <v>172</v>
      </c>
      <c r="B85" t="s">
        <v>1312</v>
      </c>
      <c r="C85" s="54" t="s">
        <v>3</v>
      </c>
      <c r="D85" s="54" t="s">
        <v>362</v>
      </c>
      <c r="E85" s="73" t="s">
        <v>617</v>
      </c>
      <c r="F85" t="s">
        <v>1321</v>
      </c>
      <c r="G85" s="2" t="s">
        <v>617</v>
      </c>
      <c r="H85"/>
      <c r="I85" s="2" t="s">
        <v>383</v>
      </c>
      <c r="J85" s="55" t="s">
        <v>78</v>
      </c>
      <c r="K85"/>
      <c r="L85" t="s">
        <v>1317</v>
      </c>
      <c r="M85"/>
      <c r="N85" s="51" t="s">
        <v>637</v>
      </c>
    </row>
    <row r="86" spans="1:14" x14ac:dyDescent="0.25">
      <c r="A86" s="54" t="s">
        <v>172</v>
      </c>
      <c r="B86" t="s">
        <v>1312</v>
      </c>
      <c r="C86" s="54" t="s">
        <v>3</v>
      </c>
      <c r="D86" s="54" t="s">
        <v>362</v>
      </c>
      <c r="E86" s="73" t="s">
        <v>618</v>
      </c>
      <c r="F86" t="s">
        <v>863</v>
      </c>
      <c r="G86" s="2" t="s">
        <v>618</v>
      </c>
      <c r="H86"/>
      <c r="I86" s="2" t="s">
        <v>383</v>
      </c>
      <c r="J86" s="55" t="s">
        <v>78</v>
      </c>
      <c r="K86"/>
      <c r="L86" t="s">
        <v>1317</v>
      </c>
      <c r="M86"/>
      <c r="N86" s="51" t="s">
        <v>637</v>
      </c>
    </row>
    <row r="87" spans="1:14" x14ac:dyDescent="0.25">
      <c r="A87" s="54" t="s">
        <v>172</v>
      </c>
      <c r="B87" t="s">
        <v>1312</v>
      </c>
      <c r="C87" s="54" t="s">
        <v>3</v>
      </c>
      <c r="D87" s="54" t="s">
        <v>362</v>
      </c>
      <c r="E87" s="73" t="s">
        <v>619</v>
      </c>
      <c r="F87" t="s">
        <v>597</v>
      </c>
      <c r="G87" s="2" t="s">
        <v>619</v>
      </c>
      <c r="H87"/>
      <c r="I87" s="2" t="s">
        <v>621</v>
      </c>
      <c r="J87" s="55" t="s">
        <v>78</v>
      </c>
      <c r="K87"/>
      <c r="L87" t="s">
        <v>1317</v>
      </c>
      <c r="M87"/>
      <c r="N87" s="51" t="s">
        <v>637</v>
      </c>
    </row>
    <row r="88" spans="1:14" x14ac:dyDescent="0.25">
      <c r="A88" s="54" t="s">
        <v>172</v>
      </c>
      <c r="B88" t="s">
        <v>1312</v>
      </c>
      <c r="C88" s="54" t="s">
        <v>3</v>
      </c>
      <c r="D88" s="54" t="s">
        <v>362</v>
      </c>
      <c r="E88" s="73" t="s">
        <v>622</v>
      </c>
      <c r="F88" t="s">
        <v>594</v>
      </c>
      <c r="G88" s="2" t="s">
        <v>622</v>
      </c>
      <c r="H88"/>
      <c r="I88" s="2" t="s">
        <v>621</v>
      </c>
      <c r="J88" s="55" t="s">
        <v>78</v>
      </c>
      <c r="K88"/>
      <c r="L88" t="s">
        <v>1317</v>
      </c>
      <c r="M88"/>
      <c r="N88" s="51" t="s">
        <v>637</v>
      </c>
    </row>
    <row r="89" spans="1:14" x14ac:dyDescent="0.25">
      <c r="A89" s="54" t="s">
        <v>172</v>
      </c>
      <c r="B89" t="s">
        <v>1312</v>
      </c>
      <c r="C89" s="54" t="s">
        <v>3</v>
      </c>
      <c r="D89" s="54" t="s">
        <v>362</v>
      </c>
      <c r="E89" s="73" t="s">
        <v>623</v>
      </c>
      <c r="F89" t="s">
        <v>1322</v>
      </c>
      <c r="G89" s="2" t="s">
        <v>623</v>
      </c>
      <c r="H89"/>
      <c r="I89" s="2" t="s">
        <v>383</v>
      </c>
      <c r="J89" s="55" t="s">
        <v>78</v>
      </c>
      <c r="K89"/>
      <c r="L89" t="s">
        <v>1317</v>
      </c>
      <c r="M89"/>
      <c r="N89" s="51" t="s">
        <v>637</v>
      </c>
    </row>
    <row r="90" spans="1:14" x14ac:dyDescent="0.25">
      <c r="A90" s="54" t="s">
        <v>172</v>
      </c>
      <c r="B90" t="s">
        <v>1312</v>
      </c>
      <c r="C90" s="54" t="s">
        <v>3</v>
      </c>
      <c r="D90" s="54" t="s">
        <v>362</v>
      </c>
      <c r="E90" s="73" t="s">
        <v>624</v>
      </c>
      <c r="F90" t="s">
        <v>1323</v>
      </c>
      <c r="G90" s="2" t="s">
        <v>624</v>
      </c>
      <c r="H90"/>
      <c r="I90" s="2" t="s">
        <v>383</v>
      </c>
      <c r="J90" s="55" t="s">
        <v>78</v>
      </c>
      <c r="K90"/>
      <c r="L90" t="s">
        <v>1317</v>
      </c>
      <c r="M90"/>
      <c r="N90" s="51" t="s">
        <v>637</v>
      </c>
    </row>
    <row r="91" spans="1:14" x14ac:dyDescent="0.25">
      <c r="A91" s="54" t="s">
        <v>172</v>
      </c>
      <c r="B91" t="s">
        <v>1312</v>
      </c>
      <c r="C91" s="54" t="s">
        <v>3</v>
      </c>
      <c r="D91" s="54" t="s">
        <v>362</v>
      </c>
      <c r="E91" s="73" t="s">
        <v>625</v>
      </c>
      <c r="F91" t="s">
        <v>594</v>
      </c>
      <c r="G91" s="2" t="s">
        <v>625</v>
      </c>
      <c r="H91"/>
      <c r="I91" s="2" t="s">
        <v>621</v>
      </c>
      <c r="J91" s="55" t="s">
        <v>78</v>
      </c>
      <c r="K91"/>
      <c r="L91" t="s">
        <v>1317</v>
      </c>
      <c r="M91"/>
      <c r="N91" s="51" t="s">
        <v>637</v>
      </c>
    </row>
    <row r="92" spans="1:14" x14ac:dyDescent="0.25">
      <c r="A92" s="54" t="s">
        <v>172</v>
      </c>
      <c r="B92" t="s">
        <v>1312</v>
      </c>
      <c r="C92" s="54" t="s">
        <v>3</v>
      </c>
      <c r="D92" s="54" t="s">
        <v>362</v>
      </c>
      <c r="E92" s="73" t="s">
        <v>626</v>
      </c>
      <c r="F92" t="s">
        <v>597</v>
      </c>
      <c r="G92" s="2" t="s">
        <v>626</v>
      </c>
      <c r="H92"/>
      <c r="I92" s="2" t="s">
        <v>621</v>
      </c>
      <c r="J92" s="55" t="s">
        <v>78</v>
      </c>
      <c r="K92"/>
      <c r="L92" t="s">
        <v>1317</v>
      </c>
      <c r="M92"/>
      <c r="N92" s="51" t="s">
        <v>635</v>
      </c>
    </row>
    <row r="93" spans="1:14" x14ac:dyDescent="0.25">
      <c r="A93" s="54" t="s">
        <v>172</v>
      </c>
      <c r="B93" t="s">
        <v>1312</v>
      </c>
      <c r="C93" s="54" t="s">
        <v>3</v>
      </c>
      <c r="D93" s="54" t="s">
        <v>362</v>
      </c>
      <c r="E93" s="73" t="s">
        <v>632</v>
      </c>
      <c r="F93" t="s">
        <v>1318</v>
      </c>
      <c r="G93" s="2" t="s">
        <v>632</v>
      </c>
      <c r="H93"/>
      <c r="I93" s="2" t="s">
        <v>448</v>
      </c>
      <c r="J93" s="55" t="s">
        <v>78</v>
      </c>
      <c r="K93"/>
      <c r="L93" t="s">
        <v>1317</v>
      </c>
      <c r="M93"/>
      <c r="N93" s="51" t="s">
        <v>635</v>
      </c>
    </row>
    <row r="94" spans="1:14" x14ac:dyDescent="0.25">
      <c r="A94" s="54" t="s">
        <v>172</v>
      </c>
      <c r="B94" t="s">
        <v>1312</v>
      </c>
      <c r="C94" s="54" t="s">
        <v>3</v>
      </c>
      <c r="D94" s="54" t="s">
        <v>362</v>
      </c>
      <c r="E94" s="73" t="s">
        <v>633</v>
      </c>
      <c r="F94" t="s">
        <v>1327</v>
      </c>
      <c r="G94" s="2" t="s">
        <v>633</v>
      </c>
      <c r="H94"/>
      <c r="I94" s="2" t="s">
        <v>621</v>
      </c>
      <c r="J94" s="55" t="s">
        <v>78</v>
      </c>
      <c r="K94"/>
      <c r="L94" t="s">
        <v>1317</v>
      </c>
      <c r="M94"/>
      <c r="N94" s="51" t="s">
        <v>635</v>
      </c>
    </row>
    <row r="95" spans="1:14" x14ac:dyDescent="0.25">
      <c r="A95" s="54" t="s">
        <v>172</v>
      </c>
      <c r="B95" t="s">
        <v>1312</v>
      </c>
      <c r="C95" s="54" t="s">
        <v>3</v>
      </c>
      <c r="D95" s="54" t="s">
        <v>362</v>
      </c>
      <c r="E95" s="73" t="s">
        <v>634</v>
      </c>
      <c r="F95" t="s">
        <v>1327</v>
      </c>
      <c r="G95" s="2" t="s">
        <v>634</v>
      </c>
      <c r="H95"/>
      <c r="I95" s="2" t="s">
        <v>621</v>
      </c>
      <c r="J95" s="55" t="s">
        <v>78</v>
      </c>
      <c r="K95"/>
      <c r="L95" t="s">
        <v>1317</v>
      </c>
      <c r="M95"/>
      <c r="N95" s="51" t="s">
        <v>635</v>
      </c>
    </row>
    <row r="96" spans="1:14" x14ac:dyDescent="0.25">
      <c r="A96" s="54" t="s">
        <v>172</v>
      </c>
      <c r="B96" t="s">
        <v>1312</v>
      </c>
      <c r="C96" s="54" t="s">
        <v>3</v>
      </c>
      <c r="D96" s="54" t="s">
        <v>362</v>
      </c>
      <c r="E96" s="73" t="s">
        <v>638</v>
      </c>
      <c r="F96" t="s">
        <v>239</v>
      </c>
      <c r="G96" s="2" t="s">
        <v>638</v>
      </c>
      <c r="H96"/>
      <c r="I96" s="2" t="s">
        <v>383</v>
      </c>
      <c r="J96" s="55" t="s">
        <v>78</v>
      </c>
      <c r="K96"/>
      <c r="L96" t="s">
        <v>1317</v>
      </c>
      <c r="M96"/>
      <c r="N96" s="51" t="s">
        <v>640</v>
      </c>
    </row>
    <row r="97" spans="1:15" x14ac:dyDescent="0.25">
      <c r="A97" s="54" t="s">
        <v>172</v>
      </c>
      <c r="B97" t="s">
        <v>1312</v>
      </c>
      <c r="C97" s="54" t="s">
        <v>3</v>
      </c>
      <c r="D97" s="54" t="s">
        <v>362</v>
      </c>
      <c r="E97" s="73" t="s">
        <v>639</v>
      </c>
      <c r="F97" t="s">
        <v>239</v>
      </c>
      <c r="G97" s="2" t="s">
        <v>639</v>
      </c>
      <c r="H97"/>
      <c r="I97" s="2" t="s">
        <v>383</v>
      </c>
      <c r="J97" s="55" t="s">
        <v>78</v>
      </c>
      <c r="K97"/>
      <c r="L97" t="s">
        <v>1317</v>
      </c>
      <c r="M97"/>
      <c r="N97" s="51" t="s">
        <v>645</v>
      </c>
    </row>
    <row r="98" spans="1:15" x14ac:dyDescent="0.25">
      <c r="A98" s="54" t="s">
        <v>172</v>
      </c>
      <c r="B98" t="s">
        <v>1312</v>
      </c>
      <c r="C98" s="54" t="s">
        <v>3</v>
      </c>
      <c r="D98" s="54" t="s">
        <v>362</v>
      </c>
      <c r="E98" s="73" t="s">
        <v>641</v>
      </c>
      <c r="F98" t="s">
        <v>286</v>
      </c>
      <c r="G98" s="2" t="s">
        <v>641</v>
      </c>
      <c r="H98"/>
      <c r="I98" s="2" t="s">
        <v>383</v>
      </c>
      <c r="J98" s="55" t="s">
        <v>78</v>
      </c>
      <c r="K98"/>
      <c r="L98" t="s">
        <v>1317</v>
      </c>
      <c r="M98"/>
      <c r="N98" s="51" t="s">
        <v>645</v>
      </c>
    </row>
    <row r="99" spans="1:15" x14ac:dyDescent="0.25">
      <c r="A99" s="54" t="s">
        <v>172</v>
      </c>
      <c r="B99" t="s">
        <v>1312</v>
      </c>
      <c r="C99" s="54" t="s">
        <v>3</v>
      </c>
      <c r="D99" s="54" t="s">
        <v>362</v>
      </c>
      <c r="E99" s="73" t="s">
        <v>642</v>
      </c>
      <c r="F99" t="s">
        <v>308</v>
      </c>
      <c r="G99" s="2" t="s">
        <v>642</v>
      </c>
      <c r="H99"/>
      <c r="I99" s="2" t="s">
        <v>621</v>
      </c>
      <c r="J99" s="55" t="s">
        <v>78</v>
      </c>
      <c r="K99"/>
      <c r="L99" t="s">
        <v>1317</v>
      </c>
      <c r="M99"/>
      <c r="N99" s="51" t="s">
        <v>645</v>
      </c>
    </row>
    <row r="100" spans="1:15" x14ac:dyDescent="0.25">
      <c r="A100" s="54" t="s">
        <v>172</v>
      </c>
      <c r="B100" t="s">
        <v>1312</v>
      </c>
      <c r="C100" s="54" t="s">
        <v>3</v>
      </c>
      <c r="D100" s="54" t="s">
        <v>362</v>
      </c>
      <c r="E100" s="73" t="s">
        <v>643</v>
      </c>
      <c r="F100" t="s">
        <v>586</v>
      </c>
      <c r="G100" s="2" t="s">
        <v>643</v>
      </c>
      <c r="H100"/>
      <c r="I100" s="2" t="s">
        <v>383</v>
      </c>
      <c r="J100" s="55" t="s">
        <v>78</v>
      </c>
      <c r="K100"/>
      <c r="L100" t="s">
        <v>1317</v>
      </c>
      <c r="M100"/>
      <c r="N100" s="51" t="s">
        <v>645</v>
      </c>
    </row>
    <row r="101" spans="1:15" x14ac:dyDescent="0.25">
      <c r="A101" s="54" t="s">
        <v>172</v>
      </c>
      <c r="B101" t="s">
        <v>1312</v>
      </c>
      <c r="C101" s="54" t="s">
        <v>3</v>
      </c>
      <c r="D101" s="54" t="s">
        <v>362</v>
      </c>
      <c r="E101" s="73" t="s">
        <v>633</v>
      </c>
      <c r="F101" t="s">
        <v>1327</v>
      </c>
      <c r="G101" s="2" t="s">
        <v>644</v>
      </c>
      <c r="H101"/>
      <c r="I101" s="2" t="s">
        <v>621</v>
      </c>
      <c r="J101" s="55" t="s">
        <v>78</v>
      </c>
      <c r="K101"/>
      <c r="L101" t="s">
        <v>1317</v>
      </c>
      <c r="M101"/>
      <c r="N101" s="51" t="s">
        <v>645</v>
      </c>
    </row>
    <row r="102" spans="1:15" x14ac:dyDescent="0.25">
      <c r="A102" s="54" t="s">
        <v>172</v>
      </c>
      <c r="B102" t="s">
        <v>1312</v>
      </c>
      <c r="C102" s="54" t="s">
        <v>3</v>
      </c>
      <c r="D102" s="54" t="s">
        <v>362</v>
      </c>
      <c r="E102" s="73" t="s">
        <v>627</v>
      </c>
      <c r="F102" t="s">
        <v>600</v>
      </c>
      <c r="G102" s="2" t="s">
        <v>627</v>
      </c>
      <c r="H102"/>
      <c r="I102" s="2" t="s">
        <v>621</v>
      </c>
      <c r="J102" s="62" t="s">
        <v>78</v>
      </c>
      <c r="K102"/>
      <c r="L102" t="s">
        <v>1317</v>
      </c>
      <c r="M102"/>
      <c r="N102" s="51" t="s">
        <v>857</v>
      </c>
    </row>
    <row r="103" spans="1:15" x14ac:dyDescent="0.25">
      <c r="A103" s="54" t="s">
        <v>172</v>
      </c>
      <c r="B103" t="s">
        <v>1312</v>
      </c>
      <c r="C103" s="54" t="s">
        <v>3</v>
      </c>
      <c r="D103" s="54" t="s">
        <v>362</v>
      </c>
      <c r="E103" s="73" t="s">
        <v>628</v>
      </c>
      <c r="F103" t="s">
        <v>1324</v>
      </c>
      <c r="G103" s="2" t="s">
        <v>628</v>
      </c>
      <c r="H103"/>
      <c r="I103" s="2" t="s">
        <v>621</v>
      </c>
      <c r="J103" s="62" t="s">
        <v>78</v>
      </c>
      <c r="K103"/>
      <c r="L103" t="s">
        <v>1317</v>
      </c>
      <c r="M103"/>
      <c r="N103" s="51" t="s">
        <v>857</v>
      </c>
    </row>
    <row r="104" spans="1:15" x14ac:dyDescent="0.25">
      <c r="A104" s="54" t="s">
        <v>172</v>
      </c>
      <c r="B104" t="s">
        <v>1312</v>
      </c>
      <c r="C104" s="54" t="s">
        <v>3</v>
      </c>
      <c r="D104" s="54" t="s">
        <v>362</v>
      </c>
      <c r="E104" s="73" t="s">
        <v>629</v>
      </c>
      <c r="F104" t="s">
        <v>1325</v>
      </c>
      <c r="G104" s="2" t="s">
        <v>629</v>
      </c>
      <c r="H104"/>
      <c r="I104" s="2" t="s">
        <v>621</v>
      </c>
      <c r="J104" s="62" t="s">
        <v>78</v>
      </c>
      <c r="K104"/>
      <c r="L104" t="s">
        <v>1317</v>
      </c>
      <c r="M104"/>
      <c r="N104" s="51" t="s">
        <v>857</v>
      </c>
    </row>
    <row r="105" spans="1:15" x14ac:dyDescent="0.25">
      <c r="A105" s="54" t="s">
        <v>172</v>
      </c>
      <c r="B105" t="s">
        <v>1312</v>
      </c>
      <c r="C105" s="54" t="s">
        <v>3</v>
      </c>
      <c r="D105" s="54" t="s">
        <v>362</v>
      </c>
      <c r="E105" s="73" t="s">
        <v>630</v>
      </c>
      <c r="F105" t="s">
        <v>1326</v>
      </c>
      <c r="G105" s="2" t="s">
        <v>630</v>
      </c>
      <c r="H105"/>
      <c r="I105" s="2" t="s">
        <v>383</v>
      </c>
      <c r="J105" s="62" t="s">
        <v>78</v>
      </c>
      <c r="K105"/>
      <c r="L105" t="s">
        <v>1317</v>
      </c>
      <c r="M105"/>
      <c r="N105" s="51" t="s">
        <v>1279</v>
      </c>
    </row>
    <row r="106" spans="1:15" x14ac:dyDescent="0.25">
      <c r="A106" s="34" t="s">
        <v>181</v>
      </c>
      <c r="B106" t="s">
        <v>1312</v>
      </c>
      <c r="C106" s="14" t="s">
        <v>3</v>
      </c>
      <c r="D106" s="14" t="s">
        <v>362</v>
      </c>
      <c r="E106" s="73" t="s">
        <v>511</v>
      </c>
      <c r="F106" t="s">
        <v>1348</v>
      </c>
      <c r="G106" s="12" t="s">
        <v>78</v>
      </c>
      <c r="H106"/>
      <c r="I106" s="2" t="s">
        <v>383</v>
      </c>
      <c r="J106" s="12" t="s">
        <v>43</v>
      </c>
      <c r="K106" t="s">
        <v>1375</v>
      </c>
      <c r="L106" t="s">
        <v>1377</v>
      </c>
      <c r="M106"/>
      <c r="N106" s="51" t="s">
        <v>556</v>
      </c>
      <c r="O106" s="58"/>
    </row>
    <row r="107" spans="1:15" x14ac:dyDescent="0.25">
      <c r="A107" s="34" t="s">
        <v>181</v>
      </c>
      <c r="B107" t="s">
        <v>1312</v>
      </c>
      <c r="C107" s="14" t="s">
        <v>3</v>
      </c>
      <c r="D107" s="14" t="s">
        <v>362</v>
      </c>
      <c r="E107" s="73" t="s">
        <v>512</v>
      </c>
      <c r="F107" t="s">
        <v>1288</v>
      </c>
      <c r="G107" s="2" t="s">
        <v>512</v>
      </c>
      <c r="H107"/>
      <c r="I107" s="2" t="s">
        <v>448</v>
      </c>
      <c r="J107" s="12" t="s">
        <v>43</v>
      </c>
      <c r="K107" t="s">
        <v>1375</v>
      </c>
      <c r="L107" t="s">
        <v>1377</v>
      </c>
      <c r="M107"/>
      <c r="N107" s="51" t="s">
        <v>556</v>
      </c>
      <c r="O107" s="58"/>
    </row>
    <row r="108" spans="1:15" x14ac:dyDescent="0.25">
      <c r="A108" s="34" t="s">
        <v>181</v>
      </c>
      <c r="B108" t="s">
        <v>1312</v>
      </c>
      <c r="C108" s="14" t="s">
        <v>3</v>
      </c>
      <c r="D108" s="14" t="s">
        <v>362</v>
      </c>
      <c r="E108" s="73" t="s">
        <v>514</v>
      </c>
      <c r="F108" t="s">
        <v>1288</v>
      </c>
      <c r="G108" s="2" t="s">
        <v>514</v>
      </c>
      <c r="H108"/>
      <c r="I108" s="2" t="s">
        <v>448</v>
      </c>
      <c r="J108" s="12" t="s">
        <v>43</v>
      </c>
      <c r="K108" t="s">
        <v>1375</v>
      </c>
      <c r="L108" t="s">
        <v>1377</v>
      </c>
      <c r="M108"/>
      <c r="N108" s="51" t="s">
        <v>556</v>
      </c>
      <c r="O108" s="58"/>
    </row>
    <row r="109" spans="1:15" x14ac:dyDescent="0.25">
      <c r="A109" s="34" t="s">
        <v>181</v>
      </c>
      <c r="B109" t="s">
        <v>1312</v>
      </c>
      <c r="C109" s="14" t="s">
        <v>3</v>
      </c>
      <c r="D109" s="14" t="s">
        <v>362</v>
      </c>
      <c r="E109" s="73" t="s">
        <v>490</v>
      </c>
      <c r="F109" t="s">
        <v>1347</v>
      </c>
      <c r="G109" s="12" t="s">
        <v>518</v>
      </c>
      <c r="H109"/>
      <c r="I109" s="2" t="s">
        <v>383</v>
      </c>
      <c r="J109" s="12" t="s">
        <v>78</v>
      </c>
      <c r="K109" t="s">
        <v>1375</v>
      </c>
      <c r="L109" t="s">
        <v>1377</v>
      </c>
      <c r="M109"/>
      <c r="N109" s="51" t="s">
        <v>519</v>
      </c>
      <c r="O109" s="58"/>
    </row>
    <row r="110" spans="1:15" x14ac:dyDescent="0.25">
      <c r="A110" s="34" t="s">
        <v>181</v>
      </c>
      <c r="B110" t="s">
        <v>1312</v>
      </c>
      <c r="C110" s="14" t="s">
        <v>3</v>
      </c>
      <c r="D110" s="14" t="s">
        <v>362</v>
      </c>
      <c r="E110" s="73" t="s">
        <v>511</v>
      </c>
      <c r="F110" t="s">
        <v>1348</v>
      </c>
      <c r="G110" s="12" t="s">
        <v>517</v>
      </c>
      <c r="H110"/>
      <c r="I110" s="2" t="s">
        <v>383</v>
      </c>
      <c r="J110" s="12" t="s">
        <v>78</v>
      </c>
      <c r="K110" t="s">
        <v>1375</v>
      </c>
      <c r="L110" t="s">
        <v>1377</v>
      </c>
      <c r="M110"/>
      <c r="N110" s="51" t="s">
        <v>519</v>
      </c>
      <c r="O110" s="58"/>
    </row>
    <row r="111" spans="1:15" x14ac:dyDescent="0.25">
      <c r="A111" s="34" t="s">
        <v>181</v>
      </c>
      <c r="B111" t="s">
        <v>1312</v>
      </c>
      <c r="C111" s="14" t="s">
        <v>3</v>
      </c>
      <c r="D111" s="14" t="s">
        <v>362</v>
      </c>
      <c r="E111" s="73" t="s">
        <v>513</v>
      </c>
      <c r="F111" t="s">
        <v>1288</v>
      </c>
      <c r="G111" s="2" t="s">
        <v>513</v>
      </c>
      <c r="H111"/>
      <c r="I111" s="2" t="s">
        <v>448</v>
      </c>
      <c r="J111" s="12" t="s">
        <v>78</v>
      </c>
      <c r="K111" t="s">
        <v>1375</v>
      </c>
      <c r="L111" t="s">
        <v>1377</v>
      </c>
      <c r="M111"/>
      <c r="N111" s="51" t="s">
        <v>519</v>
      </c>
      <c r="O111" s="58"/>
    </row>
    <row r="112" spans="1:15" x14ac:dyDescent="0.25">
      <c r="A112" s="34" t="s">
        <v>181</v>
      </c>
      <c r="B112" t="s">
        <v>1312</v>
      </c>
      <c r="C112" s="14" t="s">
        <v>3</v>
      </c>
      <c r="D112" s="14" t="s">
        <v>362</v>
      </c>
      <c r="E112" s="73" t="s">
        <v>515</v>
      </c>
      <c r="F112" t="s">
        <v>1288</v>
      </c>
      <c r="G112" s="2" t="s">
        <v>515</v>
      </c>
      <c r="H112"/>
      <c r="I112" s="2" t="s">
        <v>448</v>
      </c>
      <c r="J112" s="12" t="s">
        <v>78</v>
      </c>
      <c r="K112" t="s">
        <v>1375</v>
      </c>
      <c r="L112" t="s">
        <v>1377</v>
      </c>
      <c r="M112"/>
      <c r="N112" s="51" t="s">
        <v>519</v>
      </c>
      <c r="O112" s="58"/>
    </row>
    <row r="113" spans="1:14" x14ac:dyDescent="0.25">
      <c r="A113" s="34" t="s">
        <v>181</v>
      </c>
      <c r="B113" t="s">
        <v>1312</v>
      </c>
      <c r="C113" s="14" t="s">
        <v>3</v>
      </c>
      <c r="D113" s="14" t="s">
        <v>362</v>
      </c>
      <c r="E113" s="73" t="s">
        <v>525</v>
      </c>
      <c r="F113" t="s">
        <v>1319</v>
      </c>
      <c r="G113" s="2" t="s">
        <v>525</v>
      </c>
      <c r="H113"/>
      <c r="I113" s="2" t="s">
        <v>383</v>
      </c>
      <c r="J113" s="12" t="s">
        <v>78</v>
      </c>
      <c r="K113" t="s">
        <v>1375</v>
      </c>
      <c r="L113" t="s">
        <v>1377</v>
      </c>
      <c r="M113"/>
      <c r="N113" s="27" t="s">
        <v>543</v>
      </c>
    </row>
    <row r="114" spans="1:14" x14ac:dyDescent="0.25">
      <c r="A114" s="34" t="s">
        <v>181</v>
      </c>
      <c r="B114" t="s">
        <v>1312</v>
      </c>
      <c r="C114" s="14" t="s">
        <v>3</v>
      </c>
      <c r="D114" s="14" t="s">
        <v>362</v>
      </c>
      <c r="E114" s="2" t="s">
        <v>526</v>
      </c>
      <c r="F114" t="s">
        <v>1344</v>
      </c>
      <c r="G114" s="2" t="s">
        <v>526</v>
      </c>
      <c r="H114"/>
      <c r="I114" s="2" t="s">
        <v>1044</v>
      </c>
      <c r="J114" s="12" t="s">
        <v>78</v>
      </c>
      <c r="K114" t="s">
        <v>1375</v>
      </c>
      <c r="L114" t="s">
        <v>1377</v>
      </c>
      <c r="M114"/>
      <c r="N114" s="27" t="s">
        <v>543</v>
      </c>
    </row>
    <row r="115" spans="1:14" x14ac:dyDescent="0.25">
      <c r="A115" s="34" t="s">
        <v>181</v>
      </c>
      <c r="B115" t="s">
        <v>1312</v>
      </c>
      <c r="C115" s="14" t="s">
        <v>3</v>
      </c>
      <c r="D115" s="14" t="s">
        <v>362</v>
      </c>
      <c r="E115" s="2" t="s">
        <v>511</v>
      </c>
      <c r="F115" t="s">
        <v>1348</v>
      </c>
      <c r="G115" s="2" t="s">
        <v>545</v>
      </c>
      <c r="H115"/>
      <c r="I115" s="2" t="s">
        <v>383</v>
      </c>
      <c r="J115" s="12" t="s">
        <v>78</v>
      </c>
      <c r="K115" t="s">
        <v>1375</v>
      </c>
      <c r="L115" t="s">
        <v>1377</v>
      </c>
      <c r="M115"/>
      <c r="N115" s="27" t="s">
        <v>543</v>
      </c>
    </row>
    <row r="116" spans="1:14" x14ac:dyDescent="0.25">
      <c r="A116" s="34" t="s">
        <v>181</v>
      </c>
      <c r="B116" t="s">
        <v>1312</v>
      </c>
      <c r="C116" s="14" t="s">
        <v>3</v>
      </c>
      <c r="D116" s="14" t="s">
        <v>362</v>
      </c>
      <c r="E116" s="2" t="s">
        <v>527</v>
      </c>
      <c r="F116" t="s">
        <v>775</v>
      </c>
      <c r="G116" s="2" t="s">
        <v>527</v>
      </c>
      <c r="H116"/>
      <c r="I116" s="2" t="s">
        <v>383</v>
      </c>
      <c r="J116" s="12" t="s">
        <v>78</v>
      </c>
      <c r="K116" t="s">
        <v>1375</v>
      </c>
      <c r="L116" t="s">
        <v>1377</v>
      </c>
      <c r="M116"/>
      <c r="N116" s="27" t="s">
        <v>543</v>
      </c>
    </row>
    <row r="117" spans="1:14" x14ac:dyDescent="0.25">
      <c r="A117" s="34" t="s">
        <v>181</v>
      </c>
      <c r="B117" t="s">
        <v>1312</v>
      </c>
      <c r="C117" s="14" t="s">
        <v>3</v>
      </c>
      <c r="D117" s="14" t="s">
        <v>362</v>
      </c>
      <c r="E117" s="2" t="s">
        <v>512</v>
      </c>
      <c r="F117" t="s">
        <v>1288</v>
      </c>
      <c r="G117" s="2" t="s">
        <v>528</v>
      </c>
      <c r="H117"/>
      <c r="I117" s="2" t="s">
        <v>448</v>
      </c>
      <c r="J117" s="12" t="s">
        <v>78</v>
      </c>
      <c r="K117" t="s">
        <v>1375</v>
      </c>
      <c r="L117" t="s">
        <v>1377</v>
      </c>
      <c r="M117"/>
      <c r="N117" s="27" t="s">
        <v>543</v>
      </c>
    </row>
    <row r="118" spans="1:14" x14ac:dyDescent="0.25">
      <c r="A118" s="34" t="s">
        <v>181</v>
      </c>
      <c r="B118" t="s">
        <v>1312</v>
      </c>
      <c r="C118" s="14" t="s">
        <v>3</v>
      </c>
      <c r="D118" s="14" t="s">
        <v>362</v>
      </c>
      <c r="E118" s="2" t="s">
        <v>514</v>
      </c>
      <c r="F118" t="s">
        <v>1288</v>
      </c>
      <c r="G118" s="2" t="s">
        <v>529</v>
      </c>
      <c r="H118"/>
      <c r="I118" s="2" t="s">
        <v>448</v>
      </c>
      <c r="J118" s="12" t="s">
        <v>78</v>
      </c>
      <c r="K118" t="s">
        <v>1375</v>
      </c>
      <c r="L118" t="s">
        <v>1377</v>
      </c>
      <c r="M118"/>
      <c r="N118" s="27" t="s">
        <v>543</v>
      </c>
    </row>
    <row r="119" spans="1:14" x14ac:dyDescent="0.25">
      <c r="A119" s="34" t="s">
        <v>181</v>
      </c>
      <c r="B119" t="s">
        <v>1312</v>
      </c>
      <c r="C119" s="14" t="s">
        <v>3</v>
      </c>
      <c r="D119" s="14" t="s">
        <v>362</v>
      </c>
      <c r="E119" s="2" t="s">
        <v>490</v>
      </c>
      <c r="F119" t="s">
        <v>1347</v>
      </c>
      <c r="G119" s="2" t="s">
        <v>490</v>
      </c>
      <c r="H119"/>
      <c r="I119" s="2" t="s">
        <v>383</v>
      </c>
      <c r="J119" s="12" t="s">
        <v>78</v>
      </c>
      <c r="K119" t="s">
        <v>1375</v>
      </c>
      <c r="L119" t="s">
        <v>1377</v>
      </c>
      <c r="M119"/>
      <c r="N119" s="51" t="s">
        <v>533</v>
      </c>
    </row>
    <row r="120" spans="1:14" x14ac:dyDescent="0.25">
      <c r="A120" s="34" t="s">
        <v>181</v>
      </c>
      <c r="B120" t="s">
        <v>1312</v>
      </c>
      <c r="C120" s="14" t="s">
        <v>3</v>
      </c>
      <c r="D120" s="14" t="s">
        <v>362</v>
      </c>
      <c r="E120" s="2" t="s">
        <v>511</v>
      </c>
      <c r="F120" t="s">
        <v>1348</v>
      </c>
      <c r="G120" s="2" t="s">
        <v>511</v>
      </c>
      <c r="H120"/>
      <c r="I120" s="2" t="s">
        <v>383</v>
      </c>
      <c r="J120" s="12" t="s">
        <v>78</v>
      </c>
      <c r="K120" t="s">
        <v>1375</v>
      </c>
      <c r="L120" t="s">
        <v>1377</v>
      </c>
      <c r="M120"/>
      <c r="N120" s="51" t="s">
        <v>533</v>
      </c>
    </row>
    <row r="121" spans="1:14" x14ac:dyDescent="0.25">
      <c r="A121" s="34" t="s">
        <v>181</v>
      </c>
      <c r="B121" t="s">
        <v>1312</v>
      </c>
      <c r="C121" s="14" t="s">
        <v>3</v>
      </c>
      <c r="D121" s="14" t="s">
        <v>362</v>
      </c>
      <c r="E121" s="2" t="s">
        <v>530</v>
      </c>
      <c r="F121" t="s">
        <v>1345</v>
      </c>
      <c r="G121" s="2" t="s">
        <v>530</v>
      </c>
      <c r="H121"/>
      <c r="I121" s="2" t="s">
        <v>383</v>
      </c>
      <c r="J121" s="12" t="s">
        <v>78</v>
      </c>
      <c r="K121" t="s">
        <v>1375</v>
      </c>
      <c r="L121" t="s">
        <v>1377</v>
      </c>
      <c r="M121"/>
      <c r="N121" s="51" t="s">
        <v>533</v>
      </c>
    </row>
    <row r="122" spans="1:14" x14ac:dyDescent="0.25">
      <c r="A122" s="34" t="s">
        <v>181</v>
      </c>
      <c r="B122" t="s">
        <v>1312</v>
      </c>
      <c r="C122" s="14" t="s">
        <v>3</v>
      </c>
      <c r="D122" s="14" t="s">
        <v>362</v>
      </c>
      <c r="E122" s="2" t="s">
        <v>531</v>
      </c>
      <c r="F122" t="s">
        <v>1346</v>
      </c>
      <c r="G122" s="2" t="s">
        <v>531</v>
      </c>
      <c r="H122"/>
      <c r="I122" s="2" t="s">
        <v>383</v>
      </c>
      <c r="J122" s="12" t="s">
        <v>78</v>
      </c>
      <c r="K122" t="s">
        <v>1375</v>
      </c>
      <c r="L122" t="s">
        <v>1377</v>
      </c>
      <c r="M122"/>
      <c r="N122" s="51" t="s">
        <v>533</v>
      </c>
    </row>
    <row r="123" spans="1:14" x14ac:dyDescent="0.25">
      <c r="A123" s="34" t="s">
        <v>181</v>
      </c>
      <c r="B123" t="s">
        <v>1312</v>
      </c>
      <c r="C123" s="14" t="s">
        <v>3</v>
      </c>
      <c r="D123" s="14" t="s">
        <v>362</v>
      </c>
      <c r="E123" s="2" t="s">
        <v>512</v>
      </c>
      <c r="F123" t="s">
        <v>1288</v>
      </c>
      <c r="G123" s="2" t="s">
        <v>532</v>
      </c>
      <c r="H123"/>
      <c r="I123" s="2" t="s">
        <v>448</v>
      </c>
      <c r="J123" s="12" t="s">
        <v>78</v>
      </c>
      <c r="K123" t="s">
        <v>1375</v>
      </c>
      <c r="L123" t="s">
        <v>1377</v>
      </c>
      <c r="M123"/>
      <c r="N123" s="51" t="s">
        <v>533</v>
      </c>
    </row>
    <row r="124" spans="1:14" x14ac:dyDescent="0.25">
      <c r="A124" s="34" t="s">
        <v>181</v>
      </c>
      <c r="B124" t="s">
        <v>1312</v>
      </c>
      <c r="C124" s="14" t="s">
        <v>3</v>
      </c>
      <c r="D124" s="14" t="s">
        <v>362</v>
      </c>
      <c r="E124" s="2" t="s">
        <v>490</v>
      </c>
      <c r="F124" t="s">
        <v>1347</v>
      </c>
      <c r="G124" s="2" t="s">
        <v>537</v>
      </c>
      <c r="H124"/>
      <c r="I124" s="2" t="s">
        <v>383</v>
      </c>
      <c r="J124" s="12" t="s">
        <v>78</v>
      </c>
      <c r="K124" t="s">
        <v>1375</v>
      </c>
      <c r="L124" t="s">
        <v>1377</v>
      </c>
      <c r="M124"/>
      <c r="N124" s="51" t="s">
        <v>549</v>
      </c>
    </row>
    <row r="125" spans="1:14" x14ac:dyDescent="0.25">
      <c r="A125" s="34" t="s">
        <v>181</v>
      </c>
      <c r="B125" t="s">
        <v>1312</v>
      </c>
      <c r="C125" s="14" t="s">
        <v>3</v>
      </c>
      <c r="D125" s="14" t="s">
        <v>362</v>
      </c>
      <c r="E125" s="2" t="s">
        <v>511</v>
      </c>
      <c r="F125" t="s">
        <v>1348</v>
      </c>
      <c r="G125" s="2" t="s">
        <v>538</v>
      </c>
      <c r="H125"/>
      <c r="I125" s="2" t="s">
        <v>383</v>
      </c>
      <c r="J125" s="12" t="s">
        <v>78</v>
      </c>
      <c r="K125" t="s">
        <v>1375</v>
      </c>
      <c r="L125" t="s">
        <v>1377</v>
      </c>
      <c r="M125"/>
      <c r="N125" s="51" t="s">
        <v>549</v>
      </c>
    </row>
    <row r="126" spans="1:14" x14ac:dyDescent="0.25">
      <c r="A126" s="34" t="s">
        <v>181</v>
      </c>
      <c r="B126" t="s">
        <v>1312</v>
      </c>
      <c r="C126" s="14" t="s">
        <v>3</v>
      </c>
      <c r="D126" s="14" t="s">
        <v>362</v>
      </c>
      <c r="E126" s="2" t="s">
        <v>535</v>
      </c>
      <c r="F126" t="s">
        <v>770</v>
      </c>
      <c r="G126" s="2" t="s">
        <v>539</v>
      </c>
      <c r="H126"/>
      <c r="I126" s="2" t="s">
        <v>383</v>
      </c>
      <c r="J126" s="12" t="s">
        <v>78</v>
      </c>
      <c r="K126" t="s">
        <v>1375</v>
      </c>
      <c r="L126" t="s">
        <v>1377</v>
      </c>
      <c r="M126"/>
      <c r="N126" s="51" t="s">
        <v>549</v>
      </c>
    </row>
    <row r="127" spans="1:14" x14ac:dyDescent="0.25">
      <c r="A127" s="34" t="s">
        <v>181</v>
      </c>
      <c r="B127" t="s">
        <v>1312</v>
      </c>
      <c r="C127" s="14" t="s">
        <v>3</v>
      </c>
      <c r="D127" s="14" t="s">
        <v>362</v>
      </c>
      <c r="E127" s="2" t="s">
        <v>536</v>
      </c>
      <c r="F127" t="s">
        <v>1314</v>
      </c>
      <c r="G127" s="2" t="s">
        <v>540</v>
      </c>
      <c r="H127"/>
      <c r="I127" s="2" t="s">
        <v>383</v>
      </c>
      <c r="J127" s="12" t="s">
        <v>78</v>
      </c>
      <c r="K127" t="s">
        <v>1375</v>
      </c>
      <c r="L127" t="s">
        <v>1377</v>
      </c>
      <c r="M127"/>
      <c r="N127" s="51" t="s">
        <v>549</v>
      </c>
    </row>
    <row r="128" spans="1:14" x14ac:dyDescent="0.25">
      <c r="A128" s="34" t="s">
        <v>181</v>
      </c>
      <c r="B128" t="s">
        <v>1312</v>
      </c>
      <c r="C128" s="14" t="s">
        <v>3</v>
      </c>
      <c r="D128" s="14" t="s">
        <v>362</v>
      </c>
      <c r="E128" s="2" t="s">
        <v>512</v>
      </c>
      <c r="F128" t="s">
        <v>1288</v>
      </c>
      <c r="G128" s="2" t="s">
        <v>541</v>
      </c>
      <c r="H128"/>
      <c r="I128" s="2" t="s">
        <v>448</v>
      </c>
      <c r="J128" s="12" t="s">
        <v>78</v>
      </c>
      <c r="K128" t="s">
        <v>1375</v>
      </c>
      <c r="L128" t="s">
        <v>1377</v>
      </c>
      <c r="M128"/>
      <c r="N128" s="51" t="s">
        <v>549</v>
      </c>
    </row>
    <row r="129" spans="1:15" x14ac:dyDescent="0.25">
      <c r="A129" s="59" t="s">
        <v>181</v>
      </c>
      <c r="B129" t="s">
        <v>1312</v>
      </c>
      <c r="C129" s="54" t="s">
        <v>3</v>
      </c>
      <c r="D129" s="54" t="s">
        <v>362</v>
      </c>
      <c r="E129" s="55" t="s">
        <v>514</v>
      </c>
      <c r="F129" t="s">
        <v>1288</v>
      </c>
      <c r="G129" s="55" t="s">
        <v>542</v>
      </c>
      <c r="H129"/>
      <c r="I129" s="55" t="s">
        <v>448</v>
      </c>
      <c r="J129" s="56" t="s">
        <v>78</v>
      </c>
      <c r="K129" t="s">
        <v>1375</v>
      </c>
      <c r="L129" t="s">
        <v>1377</v>
      </c>
      <c r="M129"/>
      <c r="N129" s="57" t="s">
        <v>549</v>
      </c>
    </row>
    <row r="130" spans="1:15" x14ac:dyDescent="0.25">
      <c r="A130" s="34" t="s">
        <v>185</v>
      </c>
      <c r="B130"/>
      <c r="C130" s="14" t="s">
        <v>3</v>
      </c>
      <c r="D130" s="14" t="s">
        <v>362</v>
      </c>
      <c r="E130" s="2" t="s">
        <v>490</v>
      </c>
      <c r="F130"/>
      <c r="G130" s="2" t="s">
        <v>490</v>
      </c>
      <c r="H130"/>
      <c r="I130" s="2" t="s">
        <v>383</v>
      </c>
      <c r="J130" s="2" t="s">
        <v>43</v>
      </c>
      <c r="K130" s="12"/>
      <c r="L130"/>
      <c r="M130"/>
      <c r="N130" s="51" t="s">
        <v>552</v>
      </c>
    </row>
    <row r="131" spans="1:15" x14ac:dyDescent="0.25">
      <c r="A131" s="34" t="s">
        <v>185</v>
      </c>
      <c r="B131"/>
      <c r="C131" s="14" t="s">
        <v>3</v>
      </c>
      <c r="D131" s="14" t="s">
        <v>362</v>
      </c>
      <c r="E131" s="2" t="s">
        <v>535</v>
      </c>
      <c r="F131"/>
      <c r="G131" s="2" t="s">
        <v>535</v>
      </c>
      <c r="H131"/>
      <c r="I131" s="2" t="s">
        <v>383</v>
      </c>
      <c r="J131" s="2" t="s">
        <v>43</v>
      </c>
      <c r="K131" s="12"/>
      <c r="L131"/>
      <c r="M131"/>
      <c r="N131" s="51" t="s">
        <v>552</v>
      </c>
    </row>
    <row r="132" spans="1:15" x14ac:dyDescent="0.25">
      <c r="A132" s="34" t="s">
        <v>185</v>
      </c>
      <c r="B132"/>
      <c r="C132" s="14" t="s">
        <v>3</v>
      </c>
      <c r="D132" s="14" t="s">
        <v>362</v>
      </c>
      <c r="E132" s="2" t="s">
        <v>536</v>
      </c>
      <c r="F132"/>
      <c r="G132" s="2" t="s">
        <v>536</v>
      </c>
      <c r="H132"/>
      <c r="I132" s="2" t="s">
        <v>383</v>
      </c>
      <c r="J132" s="2" t="s">
        <v>43</v>
      </c>
      <c r="K132" s="12"/>
      <c r="L132"/>
      <c r="M132"/>
      <c r="N132" s="51" t="s">
        <v>552</v>
      </c>
    </row>
    <row r="133" spans="1:15" x14ac:dyDescent="0.25">
      <c r="A133" s="34" t="s">
        <v>185</v>
      </c>
      <c r="B133"/>
      <c r="C133" s="14" t="s">
        <v>3</v>
      </c>
      <c r="D133" s="14" t="s">
        <v>362</v>
      </c>
      <c r="E133" s="2" t="s">
        <v>512</v>
      </c>
      <c r="F133"/>
      <c r="G133" s="2" t="s">
        <v>512</v>
      </c>
      <c r="H133"/>
      <c r="I133" s="2" t="s">
        <v>448</v>
      </c>
      <c r="J133" s="2" t="s">
        <v>43</v>
      </c>
      <c r="K133" s="12"/>
      <c r="L133"/>
      <c r="M133"/>
      <c r="N133" s="51" t="s">
        <v>552</v>
      </c>
    </row>
    <row r="134" spans="1:15" x14ac:dyDescent="0.25">
      <c r="A134" s="34" t="s">
        <v>185</v>
      </c>
      <c r="B134"/>
      <c r="C134" s="14" t="s">
        <v>3</v>
      </c>
      <c r="D134" s="14" t="s">
        <v>362</v>
      </c>
      <c r="E134" s="2" t="s">
        <v>514</v>
      </c>
      <c r="F134"/>
      <c r="G134" s="2" t="s">
        <v>514</v>
      </c>
      <c r="H134"/>
      <c r="I134" s="2" t="s">
        <v>448</v>
      </c>
      <c r="J134" s="2" t="s">
        <v>43</v>
      </c>
      <c r="K134" s="12"/>
      <c r="L134"/>
      <c r="M134"/>
      <c r="N134" s="51" t="s">
        <v>552</v>
      </c>
    </row>
    <row r="135" spans="1:15" x14ac:dyDescent="0.25">
      <c r="A135" s="34" t="s">
        <v>187</v>
      </c>
      <c r="B135"/>
      <c r="C135" s="14" t="s">
        <v>3</v>
      </c>
      <c r="D135" s="14" t="s">
        <v>362</v>
      </c>
      <c r="E135" s="2" t="s">
        <v>511</v>
      </c>
      <c r="F135"/>
      <c r="G135" s="12" t="s">
        <v>78</v>
      </c>
      <c r="H135"/>
      <c r="I135" s="2" t="s">
        <v>383</v>
      </c>
      <c r="J135" s="12" t="s">
        <v>43</v>
      </c>
      <c r="K135"/>
      <c r="L135"/>
      <c r="M135"/>
      <c r="N135" s="51" t="s">
        <v>516</v>
      </c>
      <c r="O135" s="58"/>
    </row>
    <row r="136" spans="1:15" x14ac:dyDescent="0.25">
      <c r="A136" s="34" t="s">
        <v>187</v>
      </c>
      <c r="B136"/>
      <c r="C136" s="14" t="s">
        <v>3</v>
      </c>
      <c r="D136" s="14" t="s">
        <v>362</v>
      </c>
      <c r="E136" s="2" t="s">
        <v>512</v>
      </c>
      <c r="F136"/>
      <c r="G136" s="2" t="s">
        <v>512</v>
      </c>
      <c r="H136"/>
      <c r="I136" s="2" t="s">
        <v>448</v>
      </c>
      <c r="J136" s="12" t="s">
        <v>43</v>
      </c>
      <c r="K136"/>
      <c r="L136"/>
      <c r="M136"/>
      <c r="N136" s="51" t="s">
        <v>516</v>
      </c>
      <c r="O136" s="58"/>
    </row>
    <row r="137" spans="1:15" x14ac:dyDescent="0.25">
      <c r="A137" s="34" t="s">
        <v>187</v>
      </c>
      <c r="B137"/>
      <c r="C137" s="14" t="s">
        <v>3</v>
      </c>
      <c r="D137" s="14" t="s">
        <v>362</v>
      </c>
      <c r="E137" s="2" t="s">
        <v>514</v>
      </c>
      <c r="F137"/>
      <c r="G137" s="2" t="s">
        <v>514</v>
      </c>
      <c r="H137"/>
      <c r="I137" s="2" t="s">
        <v>448</v>
      </c>
      <c r="J137" s="12" t="s">
        <v>43</v>
      </c>
      <c r="K137"/>
      <c r="L137"/>
      <c r="M137"/>
      <c r="N137" s="51" t="s">
        <v>516</v>
      </c>
      <c r="O137" s="58"/>
    </row>
    <row r="138" spans="1:15" x14ac:dyDescent="0.25">
      <c r="A138" s="34" t="s">
        <v>187</v>
      </c>
      <c r="B138"/>
      <c r="C138" s="14" t="s">
        <v>3</v>
      </c>
      <c r="D138" s="14" t="s">
        <v>362</v>
      </c>
      <c r="E138" s="2" t="s">
        <v>490</v>
      </c>
      <c r="F138"/>
      <c r="G138" s="12" t="s">
        <v>518</v>
      </c>
      <c r="H138"/>
      <c r="I138" s="2" t="s">
        <v>383</v>
      </c>
      <c r="J138" s="12" t="s">
        <v>78</v>
      </c>
      <c r="K138"/>
      <c r="L138"/>
      <c r="M138"/>
      <c r="N138" s="51" t="s">
        <v>519</v>
      </c>
      <c r="O138" s="58"/>
    </row>
    <row r="139" spans="1:15" x14ac:dyDescent="0.25">
      <c r="A139" s="34" t="s">
        <v>187</v>
      </c>
      <c r="B139"/>
      <c r="C139" s="14" t="s">
        <v>3</v>
      </c>
      <c r="D139" s="14" t="s">
        <v>362</v>
      </c>
      <c r="E139" s="2" t="s">
        <v>511</v>
      </c>
      <c r="F139"/>
      <c r="G139" s="12" t="s">
        <v>517</v>
      </c>
      <c r="H139"/>
      <c r="I139" s="2" t="s">
        <v>383</v>
      </c>
      <c r="J139" s="12" t="s">
        <v>78</v>
      </c>
      <c r="K139"/>
      <c r="L139"/>
      <c r="M139"/>
      <c r="N139" s="51" t="s">
        <v>519</v>
      </c>
      <c r="O139" s="58"/>
    </row>
    <row r="140" spans="1:15" x14ac:dyDescent="0.25">
      <c r="A140" s="34" t="s">
        <v>187</v>
      </c>
      <c r="B140"/>
      <c r="C140" s="14" t="s">
        <v>3</v>
      </c>
      <c r="D140" s="14" t="s">
        <v>362</v>
      </c>
      <c r="E140" s="2" t="s">
        <v>513</v>
      </c>
      <c r="F140"/>
      <c r="G140" s="2" t="s">
        <v>513</v>
      </c>
      <c r="H140"/>
      <c r="I140" s="2" t="s">
        <v>448</v>
      </c>
      <c r="J140" s="12" t="s">
        <v>78</v>
      </c>
      <c r="K140"/>
      <c r="L140"/>
      <c r="M140"/>
      <c r="N140" s="51" t="s">
        <v>519</v>
      </c>
      <c r="O140" s="58"/>
    </row>
    <row r="141" spans="1:15" x14ac:dyDescent="0.25">
      <c r="A141" s="34" t="s">
        <v>187</v>
      </c>
      <c r="B141"/>
      <c r="C141" s="14" t="s">
        <v>3</v>
      </c>
      <c r="D141" s="14" t="s">
        <v>362</v>
      </c>
      <c r="E141" s="2" t="s">
        <v>515</v>
      </c>
      <c r="F141"/>
      <c r="G141" s="2" t="s">
        <v>515</v>
      </c>
      <c r="H141"/>
      <c r="I141" s="2" t="s">
        <v>448</v>
      </c>
      <c r="J141" s="12" t="s">
        <v>78</v>
      </c>
      <c r="K141"/>
      <c r="L141"/>
      <c r="M141"/>
      <c r="N141" s="51" t="s">
        <v>519</v>
      </c>
      <c r="O141" s="58"/>
    </row>
    <row r="142" spans="1:15" x14ac:dyDescent="0.25">
      <c r="A142" s="34" t="s">
        <v>187</v>
      </c>
      <c r="B142"/>
      <c r="C142" s="14" t="s">
        <v>3</v>
      </c>
      <c r="D142" s="14" t="s">
        <v>362</v>
      </c>
      <c r="E142" s="2" t="s">
        <v>525</v>
      </c>
      <c r="F142"/>
      <c r="G142" s="2" t="s">
        <v>525</v>
      </c>
      <c r="H142"/>
      <c r="I142" s="2" t="s">
        <v>383</v>
      </c>
      <c r="J142" s="12" t="s">
        <v>78</v>
      </c>
      <c r="K142"/>
      <c r="L142"/>
      <c r="M142"/>
      <c r="N142" s="27" t="s">
        <v>543</v>
      </c>
    </row>
    <row r="143" spans="1:15" x14ac:dyDescent="0.25">
      <c r="A143" s="59" t="s">
        <v>187</v>
      </c>
      <c r="B143"/>
      <c r="C143" s="54" t="s">
        <v>3</v>
      </c>
      <c r="D143" s="54" t="s">
        <v>362</v>
      </c>
      <c r="E143" s="55" t="s">
        <v>526</v>
      </c>
      <c r="F143"/>
      <c r="G143" s="55" t="s">
        <v>526</v>
      </c>
      <c r="H143"/>
      <c r="I143" s="55" t="s">
        <v>383</v>
      </c>
      <c r="J143" s="56" t="s">
        <v>78</v>
      </c>
      <c r="K143"/>
      <c r="L143"/>
      <c r="M143"/>
      <c r="N143" s="64" t="s">
        <v>543</v>
      </c>
    </row>
    <row r="144" spans="1:15" x14ac:dyDescent="0.25">
      <c r="A144" s="34" t="s">
        <v>188</v>
      </c>
      <c r="B144" t="s">
        <v>1298</v>
      </c>
      <c r="C144" s="14" t="s">
        <v>3</v>
      </c>
      <c r="D144" s="14" t="s">
        <v>362</v>
      </c>
      <c r="E144" s="2" t="s">
        <v>490</v>
      </c>
      <c r="F144" t="s">
        <v>1328</v>
      </c>
      <c r="G144" s="2" t="s">
        <v>693</v>
      </c>
      <c r="H144" t="s">
        <v>1328</v>
      </c>
      <c r="I144" s="2" t="s">
        <v>383</v>
      </c>
      <c r="J144" s="2" t="s">
        <v>43</v>
      </c>
      <c r="K144" t="s">
        <v>1328</v>
      </c>
      <c r="L144"/>
      <c r="M144"/>
      <c r="N144" s="51" t="s">
        <v>701</v>
      </c>
    </row>
    <row r="145" spans="1:14" x14ac:dyDescent="0.25">
      <c r="A145" s="34" t="s">
        <v>188</v>
      </c>
      <c r="B145" t="s">
        <v>1298</v>
      </c>
      <c r="C145" s="14" t="s">
        <v>3</v>
      </c>
      <c r="D145" s="14" t="s">
        <v>362</v>
      </c>
      <c r="E145" s="2" t="s">
        <v>512</v>
      </c>
      <c r="F145" t="s">
        <v>1288</v>
      </c>
      <c r="G145" s="2" t="s">
        <v>696</v>
      </c>
      <c r="H145" t="s">
        <v>1333</v>
      </c>
      <c r="I145" s="2" t="s">
        <v>448</v>
      </c>
      <c r="J145" s="2" t="s">
        <v>43</v>
      </c>
      <c r="K145" t="s">
        <v>1328</v>
      </c>
      <c r="L145"/>
      <c r="M145"/>
      <c r="N145" s="51" t="s">
        <v>701</v>
      </c>
    </row>
    <row r="146" spans="1:14" x14ac:dyDescent="0.25">
      <c r="A146" s="34" t="s">
        <v>188</v>
      </c>
      <c r="B146" t="s">
        <v>1298</v>
      </c>
      <c r="C146" s="14" t="s">
        <v>3</v>
      </c>
      <c r="D146" s="14" t="s">
        <v>362</v>
      </c>
      <c r="E146" s="2" t="s">
        <v>514</v>
      </c>
      <c r="F146" t="s">
        <v>1288</v>
      </c>
      <c r="G146" s="12" t="s">
        <v>695</v>
      </c>
      <c r="H146" t="s">
        <v>1333</v>
      </c>
      <c r="I146" s="2" t="s">
        <v>448</v>
      </c>
      <c r="J146" s="2" t="s">
        <v>43</v>
      </c>
      <c r="K146" t="s">
        <v>1328</v>
      </c>
      <c r="L146"/>
      <c r="M146"/>
      <c r="N146" s="51" t="s">
        <v>701</v>
      </c>
    </row>
    <row r="147" spans="1:14" x14ac:dyDescent="0.25">
      <c r="A147" s="34" t="s">
        <v>188</v>
      </c>
      <c r="B147" t="s">
        <v>1298</v>
      </c>
      <c r="C147" s="14" t="s">
        <v>3</v>
      </c>
      <c r="D147" s="14" t="s">
        <v>362</v>
      </c>
      <c r="E147" s="2" t="s">
        <v>514</v>
      </c>
      <c r="F147" t="s">
        <v>1288</v>
      </c>
      <c r="G147" s="2" t="s">
        <v>699</v>
      </c>
      <c r="H147" t="s">
        <v>1299</v>
      </c>
      <c r="I147" s="2" t="s">
        <v>448</v>
      </c>
      <c r="J147" s="2" t="s">
        <v>43</v>
      </c>
      <c r="K147" t="s">
        <v>1328</v>
      </c>
      <c r="L147"/>
      <c r="M147"/>
      <c r="N147" s="51" t="s">
        <v>701</v>
      </c>
    </row>
    <row r="148" spans="1:14" x14ac:dyDescent="0.25">
      <c r="A148" s="34" t="s">
        <v>188</v>
      </c>
      <c r="B148" t="s">
        <v>1298</v>
      </c>
      <c r="C148" s="14" t="s">
        <v>3</v>
      </c>
      <c r="D148" s="14" t="s">
        <v>362</v>
      </c>
      <c r="E148" s="2" t="s">
        <v>677</v>
      </c>
      <c r="F148" t="s">
        <v>662</v>
      </c>
      <c r="G148" s="2" t="s">
        <v>702</v>
      </c>
      <c r="H148" t="s">
        <v>662</v>
      </c>
      <c r="I148" s="2" t="s">
        <v>383</v>
      </c>
      <c r="J148" s="2" t="s">
        <v>43</v>
      </c>
      <c r="K148" t="s">
        <v>1328</v>
      </c>
      <c r="L148"/>
      <c r="M148"/>
      <c r="N148" s="51" t="s">
        <v>701</v>
      </c>
    </row>
    <row r="149" spans="1:14" x14ac:dyDescent="0.25">
      <c r="A149" s="34" t="s">
        <v>188</v>
      </c>
      <c r="B149" t="s">
        <v>1298</v>
      </c>
      <c r="C149" s="14" t="s">
        <v>3</v>
      </c>
      <c r="D149" s="14" t="s">
        <v>362</v>
      </c>
      <c r="E149" s="2" t="s">
        <v>512</v>
      </c>
      <c r="F149" t="s">
        <v>1288</v>
      </c>
      <c r="G149" s="2" t="s">
        <v>697</v>
      </c>
      <c r="H149" t="s">
        <v>1299</v>
      </c>
      <c r="I149" s="2" t="s">
        <v>448</v>
      </c>
      <c r="J149" s="2" t="s">
        <v>43</v>
      </c>
      <c r="K149" t="s">
        <v>1328</v>
      </c>
      <c r="L149"/>
      <c r="M149"/>
      <c r="N149" s="51" t="s">
        <v>698</v>
      </c>
    </row>
    <row r="150" spans="1:14" x14ac:dyDescent="0.25">
      <c r="A150" s="34" t="s">
        <v>188</v>
      </c>
      <c r="B150" t="s">
        <v>1298</v>
      </c>
      <c r="C150" s="14" t="s">
        <v>3</v>
      </c>
      <c r="D150" s="14" t="s">
        <v>362</v>
      </c>
      <c r="E150" s="2" t="s">
        <v>683</v>
      </c>
      <c r="F150" t="s">
        <v>649</v>
      </c>
      <c r="G150" s="2" t="s">
        <v>694</v>
      </c>
      <c r="H150" t="s">
        <v>649</v>
      </c>
      <c r="I150" s="2" t="s">
        <v>383</v>
      </c>
      <c r="J150" s="2" t="s">
        <v>43</v>
      </c>
      <c r="K150" t="s">
        <v>1328</v>
      </c>
      <c r="L150"/>
      <c r="M150"/>
      <c r="N150" s="51" t="s">
        <v>700</v>
      </c>
    </row>
    <row r="151" spans="1:14" x14ac:dyDescent="0.25">
      <c r="A151" s="4" t="s">
        <v>188</v>
      </c>
      <c r="B151" t="s">
        <v>1298</v>
      </c>
      <c r="C151" s="14" t="s">
        <v>3</v>
      </c>
      <c r="D151" s="14" t="s">
        <v>362</v>
      </c>
      <c r="E151" s="2" t="s">
        <v>691</v>
      </c>
      <c r="F151" t="s">
        <v>30</v>
      </c>
      <c r="G151" s="4" t="s">
        <v>703</v>
      </c>
      <c r="H151" t="s">
        <v>1334</v>
      </c>
      <c r="I151" s="2" t="s">
        <v>383</v>
      </c>
      <c r="J151" s="2" t="s">
        <v>43</v>
      </c>
      <c r="K151" t="s">
        <v>1328</v>
      </c>
      <c r="L151"/>
      <c r="M151"/>
      <c r="N151" s="51" t="s">
        <v>725</v>
      </c>
    </row>
    <row r="152" spans="1:14" x14ac:dyDescent="0.25">
      <c r="A152" s="34" t="s">
        <v>853</v>
      </c>
      <c r="B152"/>
      <c r="C152" s="14" t="s">
        <v>3</v>
      </c>
      <c r="D152" s="14" t="s">
        <v>362</v>
      </c>
      <c r="E152" s="2" t="s">
        <v>704</v>
      </c>
      <c r="F152"/>
      <c r="G152" s="2" t="s">
        <v>707</v>
      </c>
      <c r="H152"/>
      <c r="I152" s="2" t="s">
        <v>383</v>
      </c>
      <c r="J152" s="2" t="s">
        <v>43</v>
      </c>
      <c r="K152" s="12"/>
      <c r="L152"/>
      <c r="M152"/>
      <c r="N152" s="51" t="s">
        <v>706</v>
      </c>
    </row>
    <row r="153" spans="1:14" x14ac:dyDescent="0.25">
      <c r="A153" s="34" t="s">
        <v>188</v>
      </c>
      <c r="B153" t="s">
        <v>1298</v>
      </c>
      <c r="C153" s="14" t="s">
        <v>3</v>
      </c>
      <c r="D153" s="14" t="s">
        <v>362</v>
      </c>
      <c r="E153" s="2" t="s">
        <v>678</v>
      </c>
      <c r="F153" t="s">
        <v>169</v>
      </c>
      <c r="G153" s="2" t="s">
        <v>678</v>
      </c>
      <c r="H153" t="s">
        <v>169</v>
      </c>
      <c r="I153" s="2" t="s">
        <v>726</v>
      </c>
      <c r="J153" s="2" t="s">
        <v>43</v>
      </c>
      <c r="K153" t="s">
        <v>1328</v>
      </c>
      <c r="L153"/>
      <c r="M153"/>
      <c r="N153" s="51" t="s">
        <v>1273</v>
      </c>
    </row>
    <row r="154" spans="1:14" x14ac:dyDescent="0.25">
      <c r="A154" s="34" t="s">
        <v>188</v>
      </c>
      <c r="B154" t="s">
        <v>1298</v>
      </c>
      <c r="C154" s="14" t="s">
        <v>3</v>
      </c>
      <c r="D154" s="14" t="s">
        <v>362</v>
      </c>
      <c r="E154" s="2" t="s">
        <v>705</v>
      </c>
      <c r="F154" t="s">
        <v>1332</v>
      </c>
      <c r="G154" s="2" t="s">
        <v>710</v>
      </c>
      <c r="H154" t="s">
        <v>1332</v>
      </c>
      <c r="I154" s="2" t="s">
        <v>383</v>
      </c>
      <c r="J154" s="2" t="s">
        <v>43</v>
      </c>
      <c r="K154" t="s">
        <v>1328</v>
      </c>
      <c r="L154"/>
      <c r="M154"/>
      <c r="N154" s="51" t="s">
        <v>751</v>
      </c>
    </row>
    <row r="155" spans="1:14" x14ac:dyDescent="0.25">
      <c r="A155" s="34" t="s">
        <v>188</v>
      </c>
      <c r="B155" t="s">
        <v>1298</v>
      </c>
      <c r="C155" s="14" t="s">
        <v>3</v>
      </c>
      <c r="D155" s="14" t="s">
        <v>362</v>
      </c>
      <c r="E155" s="2" t="s">
        <v>676</v>
      </c>
      <c r="F155" t="s">
        <v>1329</v>
      </c>
      <c r="G155" s="12" t="s">
        <v>708</v>
      </c>
      <c r="H155" t="s">
        <v>1329</v>
      </c>
      <c r="I155" s="2" t="s">
        <v>383</v>
      </c>
      <c r="J155" s="2" t="s">
        <v>43</v>
      </c>
      <c r="K155" t="s">
        <v>1328</v>
      </c>
      <c r="L155"/>
      <c r="M155"/>
      <c r="N155" s="51" t="s">
        <v>709</v>
      </c>
    </row>
    <row r="156" spans="1:14" x14ac:dyDescent="0.25">
      <c r="A156" s="34" t="s">
        <v>188</v>
      </c>
      <c r="B156" t="s">
        <v>1298</v>
      </c>
      <c r="C156" s="14" t="s">
        <v>3</v>
      </c>
      <c r="D156" s="14" t="s">
        <v>362</v>
      </c>
      <c r="E156" s="2" t="s">
        <v>686</v>
      </c>
      <c r="F156" t="s">
        <v>650</v>
      </c>
      <c r="G156" s="2" t="s">
        <v>711</v>
      </c>
      <c r="H156" t="s">
        <v>650</v>
      </c>
      <c r="I156" s="2" t="s">
        <v>383</v>
      </c>
      <c r="J156" s="2" t="s">
        <v>43</v>
      </c>
      <c r="K156" t="s">
        <v>1328</v>
      </c>
      <c r="L156"/>
      <c r="M156"/>
      <c r="N156" s="51" t="s">
        <v>1029</v>
      </c>
    </row>
    <row r="157" spans="1:14" x14ac:dyDescent="0.25">
      <c r="A157" s="34" t="s">
        <v>188</v>
      </c>
      <c r="B157" t="s">
        <v>1298</v>
      </c>
      <c r="C157" s="14" t="s">
        <v>3</v>
      </c>
      <c r="D157" s="14" t="s">
        <v>362</v>
      </c>
      <c r="E157" s="2" t="s">
        <v>687</v>
      </c>
      <c r="F157" t="s">
        <v>651</v>
      </c>
      <c r="G157" s="2" t="s">
        <v>712</v>
      </c>
      <c r="H157" t="s">
        <v>651</v>
      </c>
      <c r="I157" s="2" t="s">
        <v>383</v>
      </c>
      <c r="J157" s="2" t="s">
        <v>43</v>
      </c>
      <c r="K157" t="s">
        <v>1328</v>
      </c>
      <c r="L157"/>
      <c r="M157"/>
      <c r="N157" s="51" t="s">
        <v>1029</v>
      </c>
    </row>
    <row r="158" spans="1:14" x14ac:dyDescent="0.25">
      <c r="A158" s="34" t="s">
        <v>188</v>
      </c>
      <c r="B158" t="s">
        <v>1298</v>
      </c>
      <c r="C158" s="14" t="s">
        <v>3</v>
      </c>
      <c r="D158" s="14" t="s">
        <v>362</v>
      </c>
      <c r="E158" s="2" t="s">
        <v>689</v>
      </c>
      <c r="F158" t="s">
        <v>652</v>
      </c>
      <c r="G158" s="2" t="s">
        <v>713</v>
      </c>
      <c r="H158" t="s">
        <v>1335</v>
      </c>
      <c r="I158" s="2" t="s">
        <v>461</v>
      </c>
      <c r="J158" s="2" t="s">
        <v>43</v>
      </c>
      <c r="K158" t="s">
        <v>1328</v>
      </c>
      <c r="L158"/>
      <c r="M158"/>
      <c r="N158" s="51" t="s">
        <v>1029</v>
      </c>
    </row>
    <row r="159" spans="1:14" x14ac:dyDescent="0.25">
      <c r="A159" s="34" t="s">
        <v>188</v>
      </c>
      <c r="B159" t="s">
        <v>1298</v>
      </c>
      <c r="C159" s="14" t="s">
        <v>3</v>
      </c>
      <c r="D159" s="14" t="s">
        <v>362</v>
      </c>
      <c r="E159" s="2" t="s">
        <v>690</v>
      </c>
      <c r="F159" t="s">
        <v>653</v>
      </c>
      <c r="G159" s="2" t="s">
        <v>714</v>
      </c>
      <c r="H159" t="s">
        <v>653</v>
      </c>
      <c r="I159" s="2" t="s">
        <v>383</v>
      </c>
      <c r="J159" s="2" t="s">
        <v>43</v>
      </c>
      <c r="K159" t="s">
        <v>1328</v>
      </c>
      <c r="L159"/>
      <c r="M159"/>
      <c r="N159" s="51" t="s">
        <v>1029</v>
      </c>
    </row>
    <row r="160" spans="1:14" x14ac:dyDescent="0.25">
      <c r="A160" s="34" t="s">
        <v>188</v>
      </c>
      <c r="B160" t="s">
        <v>1298</v>
      </c>
      <c r="C160" s="14" t="s">
        <v>3</v>
      </c>
      <c r="D160" s="14" t="s">
        <v>362</v>
      </c>
      <c r="E160" s="2" t="s">
        <v>688</v>
      </c>
      <c r="F160" t="s">
        <v>1331</v>
      </c>
      <c r="G160" s="2" t="s">
        <v>715</v>
      </c>
      <c r="H160" t="s">
        <v>1331</v>
      </c>
      <c r="I160" s="2" t="s">
        <v>383</v>
      </c>
      <c r="J160" s="2" t="s">
        <v>43</v>
      </c>
      <c r="K160" t="s">
        <v>1328</v>
      </c>
      <c r="L160"/>
      <c r="M160"/>
      <c r="N160" s="51" t="s">
        <v>1029</v>
      </c>
    </row>
    <row r="161" spans="1:14" x14ac:dyDescent="0.25">
      <c r="A161" s="34" t="s">
        <v>188</v>
      </c>
      <c r="B161" t="s">
        <v>1298</v>
      </c>
      <c r="C161" s="14" t="s">
        <v>3</v>
      </c>
      <c r="D161" s="14" t="s">
        <v>362</v>
      </c>
      <c r="E161" s="2" t="s">
        <v>685</v>
      </c>
      <c r="F161" t="s">
        <v>1330</v>
      </c>
      <c r="G161" s="2" t="s">
        <v>716</v>
      </c>
      <c r="H161" t="s">
        <v>1336</v>
      </c>
      <c r="I161" s="2" t="s">
        <v>461</v>
      </c>
      <c r="J161" s="2" t="s">
        <v>43</v>
      </c>
      <c r="K161" t="s">
        <v>1328</v>
      </c>
      <c r="L161"/>
      <c r="M161"/>
      <c r="N161" s="51" t="s">
        <v>1029</v>
      </c>
    </row>
    <row r="162" spans="1:14" x14ac:dyDescent="0.25">
      <c r="A162" s="34" t="s">
        <v>853</v>
      </c>
      <c r="B162"/>
      <c r="C162" s="14" t="s">
        <v>3</v>
      </c>
      <c r="D162" s="14" t="s">
        <v>362</v>
      </c>
      <c r="E162" s="2" t="s">
        <v>692</v>
      </c>
      <c r="F162"/>
      <c r="G162" s="2" t="s">
        <v>717</v>
      </c>
      <c r="H162"/>
      <c r="I162" s="2" t="s">
        <v>383</v>
      </c>
      <c r="J162" s="2" t="s">
        <v>43</v>
      </c>
      <c r="K162" s="12"/>
      <c r="L162"/>
      <c r="M162"/>
      <c r="N162" s="51" t="s">
        <v>718</v>
      </c>
    </row>
    <row r="163" spans="1:14" x14ac:dyDescent="0.25">
      <c r="A163" s="34" t="s">
        <v>188</v>
      </c>
      <c r="B163" t="s">
        <v>1298</v>
      </c>
      <c r="C163" s="14" t="s">
        <v>3</v>
      </c>
      <c r="D163" s="14" t="s">
        <v>362</v>
      </c>
      <c r="E163" s="2" t="s">
        <v>682</v>
      </c>
      <c r="F163" t="s">
        <v>670</v>
      </c>
      <c r="G163" s="2" t="s">
        <v>719</v>
      </c>
      <c r="H163" t="s">
        <v>670</v>
      </c>
      <c r="I163" s="2" t="s">
        <v>383</v>
      </c>
      <c r="J163" s="2" t="s">
        <v>43</v>
      </c>
      <c r="K163" t="s">
        <v>1328</v>
      </c>
      <c r="L163"/>
      <c r="M163"/>
      <c r="N163" s="51" t="s">
        <v>1031</v>
      </c>
    </row>
    <row r="164" spans="1:14" x14ac:dyDescent="0.25">
      <c r="A164" s="34" t="s">
        <v>188</v>
      </c>
      <c r="B164" t="s">
        <v>1298</v>
      </c>
      <c r="C164" s="14" t="s">
        <v>3</v>
      </c>
      <c r="D164" s="14" t="s">
        <v>362</v>
      </c>
      <c r="E164" s="2" t="s">
        <v>681</v>
      </c>
      <c r="F164" t="s">
        <v>671</v>
      </c>
      <c r="G164" s="2" t="s">
        <v>720</v>
      </c>
      <c r="H164" t="s">
        <v>671</v>
      </c>
      <c r="I164" s="2" t="s">
        <v>383</v>
      </c>
      <c r="J164" s="2" t="s">
        <v>43</v>
      </c>
      <c r="K164" t="s">
        <v>1328</v>
      </c>
      <c r="L164"/>
      <c r="M164"/>
      <c r="N164" s="51" t="s">
        <v>1032</v>
      </c>
    </row>
    <row r="165" spans="1:14" x14ac:dyDescent="0.25">
      <c r="A165" s="34" t="s">
        <v>188</v>
      </c>
      <c r="B165" t="s">
        <v>1298</v>
      </c>
      <c r="C165" s="14" t="s">
        <v>3</v>
      </c>
      <c r="D165" s="14" t="s">
        <v>362</v>
      </c>
      <c r="E165" s="2" t="s">
        <v>684</v>
      </c>
      <c r="F165" t="s">
        <v>672</v>
      </c>
      <c r="G165" s="2" t="s">
        <v>721</v>
      </c>
      <c r="H165" t="s">
        <v>672</v>
      </c>
      <c r="I165" s="2" t="s">
        <v>383</v>
      </c>
      <c r="J165" s="2" t="s">
        <v>43</v>
      </c>
      <c r="K165" t="s">
        <v>1328</v>
      </c>
      <c r="L165"/>
      <c r="M165"/>
      <c r="N165" s="51" t="s">
        <v>1033</v>
      </c>
    </row>
    <row r="166" spans="1:14" x14ac:dyDescent="0.25">
      <c r="A166" s="34" t="s">
        <v>188</v>
      </c>
      <c r="B166" t="s">
        <v>1298</v>
      </c>
      <c r="C166" s="14" t="s">
        <v>3</v>
      </c>
      <c r="D166" s="14" t="s">
        <v>362</v>
      </c>
      <c r="E166" s="2" t="s">
        <v>679</v>
      </c>
      <c r="F166" t="s">
        <v>668</v>
      </c>
      <c r="G166" s="2" t="s">
        <v>722</v>
      </c>
      <c r="H166" t="s">
        <v>1337</v>
      </c>
      <c r="I166" s="2" t="s">
        <v>726</v>
      </c>
      <c r="J166" s="2" t="s">
        <v>43</v>
      </c>
      <c r="K166" t="s">
        <v>1328</v>
      </c>
      <c r="L166"/>
      <c r="M166"/>
      <c r="N166" s="51" t="s">
        <v>1034</v>
      </c>
    </row>
    <row r="167" spans="1:14" x14ac:dyDescent="0.25">
      <c r="A167" s="34" t="s">
        <v>188</v>
      </c>
      <c r="B167" t="s">
        <v>1298</v>
      </c>
      <c r="C167" s="14" t="s">
        <v>3</v>
      </c>
      <c r="D167" s="14" t="s">
        <v>362</v>
      </c>
      <c r="E167" s="2" t="s">
        <v>680</v>
      </c>
      <c r="F167" t="s">
        <v>669</v>
      </c>
      <c r="G167" s="2" t="s">
        <v>723</v>
      </c>
      <c r="H167" t="s">
        <v>1338</v>
      </c>
      <c r="I167" s="2" t="s">
        <v>726</v>
      </c>
      <c r="J167" s="2" t="s">
        <v>43</v>
      </c>
      <c r="K167" t="s">
        <v>1328</v>
      </c>
      <c r="L167"/>
      <c r="M167"/>
      <c r="N167" s="57" t="s">
        <v>1035</v>
      </c>
    </row>
    <row r="168" spans="1:14" x14ac:dyDescent="0.25">
      <c r="A168" s="34" t="s">
        <v>189</v>
      </c>
      <c r="B168" t="s">
        <v>1298</v>
      </c>
      <c r="C168" s="14" t="s">
        <v>3</v>
      </c>
      <c r="D168" s="14" t="s">
        <v>362</v>
      </c>
      <c r="E168" s="2" t="s">
        <v>490</v>
      </c>
      <c r="F168" t="s">
        <v>1328</v>
      </c>
      <c r="G168" s="2" t="s">
        <v>708</v>
      </c>
      <c r="H168" t="s">
        <v>1328</v>
      </c>
      <c r="I168" s="2" t="s">
        <v>383</v>
      </c>
      <c r="J168" s="2" t="s">
        <v>43</v>
      </c>
      <c r="K168" t="s">
        <v>1328</v>
      </c>
      <c r="L168"/>
      <c r="M168"/>
      <c r="N168" s="51" t="s">
        <v>1036</v>
      </c>
    </row>
    <row r="169" spans="1:14" x14ac:dyDescent="0.25">
      <c r="A169" s="34" t="s">
        <v>189</v>
      </c>
      <c r="B169" t="s">
        <v>1298</v>
      </c>
      <c r="C169" s="14" t="s">
        <v>3</v>
      </c>
      <c r="D169" s="14" t="s">
        <v>362</v>
      </c>
      <c r="E169" s="2" t="s">
        <v>731</v>
      </c>
      <c r="F169" t="s">
        <v>727</v>
      </c>
      <c r="G169" s="2" t="s">
        <v>733</v>
      </c>
      <c r="H169" t="s">
        <v>727</v>
      </c>
      <c r="I169" s="2" t="s">
        <v>383</v>
      </c>
      <c r="J169" s="2" t="s">
        <v>43</v>
      </c>
      <c r="K169" t="s">
        <v>1328</v>
      </c>
      <c r="L169"/>
      <c r="M169"/>
      <c r="N169" s="51" t="s">
        <v>1036</v>
      </c>
    </row>
    <row r="170" spans="1:14" x14ac:dyDescent="0.25">
      <c r="A170" s="34" t="s">
        <v>189</v>
      </c>
      <c r="B170" t="s">
        <v>1298</v>
      </c>
      <c r="C170" s="14" t="s">
        <v>3</v>
      </c>
      <c r="D170" s="14" t="s">
        <v>362</v>
      </c>
      <c r="E170" s="2" t="s">
        <v>732</v>
      </c>
      <c r="F170" t="s">
        <v>728</v>
      </c>
      <c r="G170" s="2" t="s">
        <v>734</v>
      </c>
      <c r="H170" t="s">
        <v>728</v>
      </c>
      <c r="I170" s="2" t="s">
        <v>383</v>
      </c>
      <c r="J170" s="2" t="s">
        <v>43</v>
      </c>
      <c r="K170" t="s">
        <v>1328</v>
      </c>
      <c r="L170"/>
      <c r="M170"/>
      <c r="N170" s="51" t="s">
        <v>1036</v>
      </c>
    </row>
    <row r="171" spans="1:14" x14ac:dyDescent="0.25">
      <c r="A171" s="59" t="s">
        <v>189</v>
      </c>
      <c r="B171" t="s">
        <v>1298</v>
      </c>
      <c r="C171" s="54" t="s">
        <v>3</v>
      </c>
      <c r="D171" s="54" t="s">
        <v>362</v>
      </c>
      <c r="E171" s="2" t="s">
        <v>686</v>
      </c>
      <c r="F171" t="s">
        <v>650</v>
      </c>
      <c r="G171" s="2" t="s">
        <v>735</v>
      </c>
      <c r="H171" t="s">
        <v>650</v>
      </c>
      <c r="I171" s="2" t="s">
        <v>383</v>
      </c>
      <c r="J171" s="2" t="s">
        <v>43</v>
      </c>
      <c r="K171" t="s">
        <v>1328</v>
      </c>
      <c r="L171"/>
      <c r="M171"/>
      <c r="N171" s="27" t="s">
        <v>1037</v>
      </c>
    </row>
    <row r="172" spans="1:14" x14ac:dyDescent="0.25">
      <c r="A172" s="34" t="s">
        <v>189</v>
      </c>
      <c r="B172" t="s">
        <v>1298</v>
      </c>
      <c r="C172" s="14" t="s">
        <v>3</v>
      </c>
      <c r="D172" s="14" t="s">
        <v>362</v>
      </c>
      <c r="E172" s="2" t="s">
        <v>687</v>
      </c>
      <c r="F172" t="s">
        <v>651</v>
      </c>
      <c r="G172" s="2" t="s">
        <v>736</v>
      </c>
      <c r="H172" t="s">
        <v>651</v>
      </c>
      <c r="I172" s="2" t="s">
        <v>383</v>
      </c>
      <c r="J172" s="2" t="s">
        <v>43</v>
      </c>
      <c r="K172" t="s">
        <v>1328</v>
      </c>
      <c r="L172"/>
      <c r="M172"/>
      <c r="N172" s="27" t="s">
        <v>1037</v>
      </c>
    </row>
    <row r="173" spans="1:14" x14ac:dyDescent="0.25">
      <c r="A173" s="34" t="s">
        <v>189</v>
      </c>
      <c r="B173" t="s">
        <v>1298</v>
      </c>
      <c r="C173" s="14" t="s">
        <v>3</v>
      </c>
      <c r="D173" s="14" t="s">
        <v>362</v>
      </c>
      <c r="E173" s="2" t="s">
        <v>689</v>
      </c>
      <c r="F173" t="s">
        <v>652</v>
      </c>
      <c r="G173" s="2" t="s">
        <v>738</v>
      </c>
      <c r="H173" t="s">
        <v>1335</v>
      </c>
      <c r="I173" s="2" t="s">
        <v>461</v>
      </c>
      <c r="J173" s="2" t="s">
        <v>43</v>
      </c>
      <c r="K173" t="s">
        <v>1328</v>
      </c>
      <c r="L173"/>
      <c r="M173"/>
      <c r="N173" s="27" t="s">
        <v>1037</v>
      </c>
    </row>
    <row r="174" spans="1:14" x14ac:dyDescent="0.25">
      <c r="A174" s="34" t="s">
        <v>189</v>
      </c>
      <c r="B174" t="s">
        <v>1298</v>
      </c>
      <c r="C174" s="14" t="s">
        <v>3</v>
      </c>
      <c r="D174" s="14" t="s">
        <v>362</v>
      </c>
      <c r="E174" s="2" t="s">
        <v>688</v>
      </c>
      <c r="F174" t="s">
        <v>1331</v>
      </c>
      <c r="G174" s="2" t="s">
        <v>737</v>
      </c>
      <c r="H174" t="s">
        <v>1331</v>
      </c>
      <c r="I174" s="2" t="s">
        <v>383</v>
      </c>
      <c r="J174" s="2" t="s">
        <v>43</v>
      </c>
      <c r="K174" t="s">
        <v>1328</v>
      </c>
      <c r="L174"/>
      <c r="M174"/>
      <c r="N174" s="27" t="s">
        <v>1037</v>
      </c>
    </row>
    <row r="175" spans="1:14" x14ac:dyDescent="0.25">
      <c r="A175" s="34" t="s">
        <v>189</v>
      </c>
      <c r="B175" t="s">
        <v>1298</v>
      </c>
      <c r="C175" s="14" t="s">
        <v>3</v>
      </c>
      <c r="D175" s="14" t="s">
        <v>362</v>
      </c>
      <c r="E175" s="2" t="s">
        <v>685</v>
      </c>
      <c r="F175" t="s">
        <v>1330</v>
      </c>
      <c r="G175" s="2" t="s">
        <v>739</v>
      </c>
      <c r="H175" t="s">
        <v>1336</v>
      </c>
      <c r="I175" s="2" t="s">
        <v>461</v>
      </c>
      <c r="J175" s="2" t="s">
        <v>43</v>
      </c>
      <c r="K175" t="s">
        <v>1328</v>
      </c>
      <c r="L175"/>
      <c r="M175"/>
      <c r="N175" s="27" t="s">
        <v>1037</v>
      </c>
    </row>
    <row r="176" spans="1:14" x14ac:dyDescent="0.25">
      <c r="A176" s="34" t="s">
        <v>189</v>
      </c>
      <c r="B176" t="s">
        <v>1298</v>
      </c>
      <c r="C176" s="14" t="s">
        <v>3</v>
      </c>
      <c r="D176" s="14" t="s">
        <v>362</v>
      </c>
      <c r="E176" s="2" t="s">
        <v>690</v>
      </c>
      <c r="F176" t="s">
        <v>653</v>
      </c>
      <c r="G176" s="2" t="s">
        <v>740</v>
      </c>
      <c r="H176" t="s">
        <v>653</v>
      </c>
      <c r="I176" s="2" t="s">
        <v>383</v>
      </c>
      <c r="J176" s="2" t="s">
        <v>43</v>
      </c>
      <c r="K176" t="s">
        <v>1328</v>
      </c>
      <c r="L176"/>
      <c r="M176"/>
      <c r="N176" s="27" t="s">
        <v>1037</v>
      </c>
    </row>
    <row r="177" spans="1:14" x14ac:dyDescent="0.25">
      <c r="A177" s="34" t="s">
        <v>189</v>
      </c>
      <c r="B177" t="s">
        <v>1298</v>
      </c>
      <c r="C177" s="14" t="s">
        <v>3</v>
      </c>
      <c r="D177" s="14" t="s">
        <v>362</v>
      </c>
      <c r="E177" s="2" t="s">
        <v>692</v>
      </c>
      <c r="F177" t="s">
        <v>1340</v>
      </c>
      <c r="G177" s="55" t="s">
        <v>741</v>
      </c>
      <c r="H177" t="s">
        <v>1340</v>
      </c>
      <c r="I177" s="55" t="s">
        <v>383</v>
      </c>
      <c r="J177" s="55" t="s">
        <v>43</v>
      </c>
      <c r="K177" t="s">
        <v>1328</v>
      </c>
      <c r="L177"/>
      <c r="M177"/>
      <c r="N177" s="64" t="s">
        <v>1046</v>
      </c>
    </row>
    <row r="178" spans="1:14" x14ac:dyDescent="0.25">
      <c r="A178" s="34" t="s">
        <v>189</v>
      </c>
      <c r="B178" t="s">
        <v>1298</v>
      </c>
      <c r="C178" s="14" t="s">
        <v>3</v>
      </c>
      <c r="D178" s="14" t="s">
        <v>362</v>
      </c>
      <c r="E178" s="2" t="s">
        <v>682</v>
      </c>
      <c r="F178" t="s">
        <v>670</v>
      </c>
      <c r="G178" s="2" t="s">
        <v>742</v>
      </c>
      <c r="H178" t="s">
        <v>670</v>
      </c>
      <c r="I178" s="2" t="s">
        <v>383</v>
      </c>
      <c r="J178" s="2" t="s">
        <v>43</v>
      </c>
      <c r="K178" t="s">
        <v>1328</v>
      </c>
      <c r="L178"/>
      <c r="M178"/>
      <c r="N178" s="27" t="s">
        <v>1038</v>
      </c>
    </row>
    <row r="179" spans="1:14" x14ac:dyDescent="0.25">
      <c r="A179" s="34" t="s">
        <v>189</v>
      </c>
      <c r="B179" t="s">
        <v>1298</v>
      </c>
      <c r="C179" s="14" t="s">
        <v>3</v>
      </c>
      <c r="D179" s="14" t="s">
        <v>362</v>
      </c>
      <c r="E179" s="2" t="s">
        <v>681</v>
      </c>
      <c r="F179" t="s">
        <v>671</v>
      </c>
      <c r="G179" s="13" t="s">
        <v>743</v>
      </c>
      <c r="H179" t="s">
        <v>671</v>
      </c>
      <c r="I179" s="2" t="s">
        <v>383</v>
      </c>
      <c r="J179" s="2" t="s">
        <v>43</v>
      </c>
      <c r="K179" t="s">
        <v>1328</v>
      </c>
      <c r="L179"/>
      <c r="M179"/>
      <c r="N179" s="27" t="s">
        <v>1039</v>
      </c>
    </row>
    <row r="180" spans="1:14" x14ac:dyDescent="0.25">
      <c r="A180" s="34" t="s">
        <v>189</v>
      </c>
      <c r="B180" t="s">
        <v>1298</v>
      </c>
      <c r="C180" s="14" t="s">
        <v>3</v>
      </c>
      <c r="D180" s="14" t="s">
        <v>362</v>
      </c>
      <c r="E180" s="2" t="s">
        <v>745</v>
      </c>
      <c r="F180" t="s">
        <v>1341</v>
      </c>
      <c r="G180" s="2" t="s">
        <v>744</v>
      </c>
      <c r="H180" t="s">
        <v>1341</v>
      </c>
      <c r="I180" s="2" t="s">
        <v>383</v>
      </c>
      <c r="J180" s="2" t="s">
        <v>43</v>
      </c>
      <c r="K180" t="s">
        <v>1328</v>
      </c>
      <c r="L180"/>
      <c r="M180"/>
      <c r="N180" s="27" t="s">
        <v>1040</v>
      </c>
    </row>
    <row r="181" spans="1:14" x14ac:dyDescent="0.25">
      <c r="A181" s="34" t="s">
        <v>189</v>
      </c>
      <c r="B181" t="s">
        <v>1298</v>
      </c>
      <c r="C181" s="14" t="s">
        <v>3</v>
      </c>
      <c r="D181" s="14" t="s">
        <v>362</v>
      </c>
      <c r="E181" s="2" t="s">
        <v>679</v>
      </c>
      <c r="F181" t="s">
        <v>668</v>
      </c>
      <c r="G181" s="2" t="s">
        <v>746</v>
      </c>
      <c r="H181" t="s">
        <v>1337</v>
      </c>
      <c r="I181" s="2" t="s">
        <v>726</v>
      </c>
      <c r="J181" s="2" t="s">
        <v>43</v>
      </c>
      <c r="K181" t="s">
        <v>1328</v>
      </c>
      <c r="L181"/>
      <c r="M181"/>
      <c r="N181" s="27" t="s">
        <v>1041</v>
      </c>
    </row>
    <row r="182" spans="1:14" x14ac:dyDescent="0.25">
      <c r="A182" s="34" t="s">
        <v>189</v>
      </c>
      <c r="B182" t="s">
        <v>1298</v>
      </c>
      <c r="C182" s="14" t="s">
        <v>3</v>
      </c>
      <c r="D182" s="14" t="s">
        <v>362</v>
      </c>
      <c r="E182" s="2" t="s">
        <v>680</v>
      </c>
      <c r="F182" t="s">
        <v>669</v>
      </c>
      <c r="G182" s="2" t="s">
        <v>747</v>
      </c>
      <c r="H182" t="s">
        <v>1338</v>
      </c>
      <c r="I182" s="2" t="s">
        <v>726</v>
      </c>
      <c r="J182" s="2" t="s">
        <v>43</v>
      </c>
      <c r="K182" t="s">
        <v>1328</v>
      </c>
      <c r="L182"/>
      <c r="M182"/>
      <c r="N182" s="27" t="s">
        <v>1042</v>
      </c>
    </row>
    <row r="183" spans="1:14" x14ac:dyDescent="0.25">
      <c r="A183" s="59" t="s">
        <v>189</v>
      </c>
      <c r="B183" t="s">
        <v>1298</v>
      </c>
      <c r="C183" s="54" t="s">
        <v>3</v>
      </c>
      <c r="D183" s="54" t="s">
        <v>362</v>
      </c>
      <c r="E183" s="55" t="s">
        <v>748</v>
      </c>
      <c r="F183" t="s">
        <v>3</v>
      </c>
      <c r="G183" s="2" t="s">
        <v>749</v>
      </c>
      <c r="H183" t="s">
        <v>1342</v>
      </c>
      <c r="I183" s="55" t="s">
        <v>1044</v>
      </c>
      <c r="J183" s="55" t="s">
        <v>43</v>
      </c>
      <c r="K183" t="s">
        <v>1328</v>
      </c>
      <c r="L183"/>
      <c r="M183"/>
      <c r="N183" s="64" t="s">
        <v>1043</v>
      </c>
    </row>
    <row r="184" spans="1:14" x14ac:dyDescent="0.25">
      <c r="A184" s="34" t="s">
        <v>190</v>
      </c>
      <c r="B184" t="s">
        <v>1312</v>
      </c>
      <c r="C184" s="14" t="s">
        <v>3</v>
      </c>
      <c r="D184" s="14" t="s">
        <v>362</v>
      </c>
      <c r="E184" s="2" t="s">
        <v>490</v>
      </c>
      <c r="F184" t="s">
        <v>1328</v>
      </c>
      <c r="G184" s="2" t="s">
        <v>708</v>
      </c>
      <c r="H184"/>
      <c r="I184" s="2" t="s">
        <v>383</v>
      </c>
      <c r="J184" s="55" t="s">
        <v>43</v>
      </c>
      <c r="K184" t="s">
        <v>1328</v>
      </c>
      <c r="L184"/>
      <c r="M184"/>
      <c r="N184" s="27" t="s">
        <v>1048</v>
      </c>
    </row>
    <row r="185" spans="1:14" x14ac:dyDescent="0.25">
      <c r="A185" s="34" t="s">
        <v>1047</v>
      </c>
      <c r="B185"/>
      <c r="C185" s="14" t="s">
        <v>3</v>
      </c>
      <c r="D185" s="14" t="s">
        <v>362</v>
      </c>
      <c r="E185" s="2" t="s">
        <v>767</v>
      </c>
      <c r="F185"/>
      <c r="G185" s="2" t="s">
        <v>764</v>
      </c>
      <c r="H185"/>
      <c r="I185" s="2" t="s">
        <v>383</v>
      </c>
      <c r="J185" s="2" t="s">
        <v>43</v>
      </c>
      <c r="K185"/>
      <c r="L185"/>
      <c r="M185"/>
      <c r="N185" s="27" t="s">
        <v>1048</v>
      </c>
    </row>
    <row r="186" spans="1:14" x14ac:dyDescent="0.25">
      <c r="A186" s="34" t="s">
        <v>190</v>
      </c>
      <c r="B186" t="s">
        <v>1312</v>
      </c>
      <c r="C186" s="14" t="s">
        <v>3</v>
      </c>
      <c r="D186" s="14" t="s">
        <v>362</v>
      </c>
      <c r="E186" s="2" t="s">
        <v>762</v>
      </c>
      <c r="F186" t="s">
        <v>650</v>
      </c>
      <c r="G186" s="55" t="s">
        <v>765</v>
      </c>
      <c r="H186"/>
      <c r="I186" s="55" t="s">
        <v>383</v>
      </c>
      <c r="J186" s="55" t="s">
        <v>43</v>
      </c>
      <c r="K186" t="s">
        <v>1328</v>
      </c>
      <c r="L186"/>
      <c r="M186"/>
      <c r="N186" s="27" t="s">
        <v>1048</v>
      </c>
    </row>
    <row r="187" spans="1:14" x14ac:dyDescent="0.25">
      <c r="A187" s="34" t="s">
        <v>190</v>
      </c>
      <c r="B187" t="s">
        <v>1312</v>
      </c>
      <c r="C187" s="14" t="s">
        <v>3</v>
      </c>
      <c r="D187" s="14" t="s">
        <v>362</v>
      </c>
      <c r="E187" s="2" t="s">
        <v>763</v>
      </c>
      <c r="F187" t="s">
        <v>756</v>
      </c>
      <c r="G187" s="2" t="s">
        <v>766</v>
      </c>
      <c r="H187"/>
      <c r="I187" s="2" t="s">
        <v>383</v>
      </c>
      <c r="J187" s="2" t="s">
        <v>43</v>
      </c>
      <c r="K187" t="s">
        <v>1328</v>
      </c>
      <c r="L187"/>
      <c r="M187"/>
      <c r="N187" s="27" t="s">
        <v>1049</v>
      </c>
    </row>
    <row r="188" spans="1:14" x14ac:dyDescent="0.25">
      <c r="A188" s="34" t="s">
        <v>191</v>
      </c>
      <c r="B188" t="s">
        <v>1312</v>
      </c>
      <c r="C188" s="14" t="s">
        <v>3</v>
      </c>
      <c r="D188" s="14" t="s">
        <v>362</v>
      </c>
      <c r="E188" s="2" t="s">
        <v>511</v>
      </c>
      <c r="F188" t="s">
        <v>1369</v>
      </c>
      <c r="G188" s="12" t="s">
        <v>794</v>
      </c>
      <c r="H188" t="s">
        <v>1380</v>
      </c>
      <c r="I188" s="2" t="s">
        <v>383</v>
      </c>
      <c r="J188" s="2" t="s">
        <v>43</v>
      </c>
      <c r="K188" t="s">
        <v>1378</v>
      </c>
      <c r="L188"/>
      <c r="M188"/>
      <c r="N188" s="65" t="s">
        <v>793</v>
      </c>
    </row>
    <row r="189" spans="1:14" x14ac:dyDescent="0.25">
      <c r="A189" s="34" t="s">
        <v>191</v>
      </c>
      <c r="B189" t="s">
        <v>1298</v>
      </c>
      <c r="C189" s="14" t="s">
        <v>3</v>
      </c>
      <c r="D189" s="14" t="s">
        <v>362</v>
      </c>
      <c r="E189" s="2" t="s">
        <v>512</v>
      </c>
      <c r="F189" t="s">
        <v>1372</v>
      </c>
      <c r="G189" s="12" t="s">
        <v>512</v>
      </c>
      <c r="H189" t="s">
        <v>1381</v>
      </c>
      <c r="I189" s="2" t="s">
        <v>448</v>
      </c>
      <c r="J189" s="2" t="s">
        <v>43</v>
      </c>
      <c r="K189" t="s">
        <v>1378</v>
      </c>
      <c r="L189"/>
      <c r="M189"/>
      <c r="N189" s="65" t="s">
        <v>793</v>
      </c>
    </row>
    <row r="190" spans="1:14" x14ac:dyDescent="0.25">
      <c r="A190" s="34" t="s">
        <v>191</v>
      </c>
      <c r="B190" t="s">
        <v>1298</v>
      </c>
      <c r="C190" s="14" t="s">
        <v>3</v>
      </c>
      <c r="D190" s="14" t="s">
        <v>362</v>
      </c>
      <c r="E190" s="2" t="s">
        <v>514</v>
      </c>
      <c r="F190" t="s">
        <v>1372</v>
      </c>
      <c r="G190" s="12" t="s">
        <v>514</v>
      </c>
      <c r="H190" t="s">
        <v>1381</v>
      </c>
      <c r="I190" s="2" t="s">
        <v>448</v>
      </c>
      <c r="J190" s="2" t="s">
        <v>43</v>
      </c>
      <c r="K190" t="s">
        <v>1378</v>
      </c>
      <c r="L190"/>
      <c r="M190"/>
      <c r="N190" s="65" t="s">
        <v>793</v>
      </c>
    </row>
    <row r="191" spans="1:14" x14ac:dyDescent="0.25">
      <c r="A191" s="34" t="s">
        <v>191</v>
      </c>
      <c r="B191" t="s">
        <v>1312</v>
      </c>
      <c r="C191" s="14" t="s">
        <v>3</v>
      </c>
      <c r="D191" s="14" t="s">
        <v>362</v>
      </c>
      <c r="E191" s="2" t="s">
        <v>490</v>
      </c>
      <c r="F191" t="s">
        <v>1378</v>
      </c>
      <c r="G191" s="12" t="s">
        <v>798</v>
      </c>
      <c r="H191" t="s">
        <v>1367</v>
      </c>
      <c r="I191" s="2" t="s">
        <v>383</v>
      </c>
      <c r="J191" s="2" t="s">
        <v>78</v>
      </c>
      <c r="K191" t="s">
        <v>1378</v>
      </c>
      <c r="L191"/>
      <c r="M191"/>
      <c r="N191" s="65" t="s">
        <v>799</v>
      </c>
    </row>
    <row r="192" spans="1:14" x14ac:dyDescent="0.25">
      <c r="A192" s="34" t="s">
        <v>191</v>
      </c>
      <c r="B192" t="s">
        <v>1312</v>
      </c>
      <c r="C192" s="14" t="s">
        <v>3</v>
      </c>
      <c r="D192" s="14" t="s">
        <v>362</v>
      </c>
      <c r="E192" s="2" t="s">
        <v>511</v>
      </c>
      <c r="F192" t="s">
        <v>1369</v>
      </c>
      <c r="G192" s="12" t="s">
        <v>796</v>
      </c>
      <c r="H192" t="s">
        <v>1369</v>
      </c>
      <c r="I192" s="2" t="s">
        <v>383</v>
      </c>
      <c r="J192" s="2" t="s">
        <v>78</v>
      </c>
      <c r="K192" t="s">
        <v>1378</v>
      </c>
      <c r="L192"/>
      <c r="M192"/>
      <c r="N192" s="65" t="s">
        <v>799</v>
      </c>
    </row>
    <row r="193" spans="1:14" x14ac:dyDescent="0.25">
      <c r="A193" s="34" t="s">
        <v>191</v>
      </c>
      <c r="B193" t="s">
        <v>1312</v>
      </c>
      <c r="C193" s="14" t="s">
        <v>3</v>
      </c>
      <c r="D193" s="14" t="s">
        <v>362</v>
      </c>
      <c r="E193" s="2" t="s">
        <v>513</v>
      </c>
      <c r="F193" t="s">
        <v>1372</v>
      </c>
      <c r="G193" s="12" t="s">
        <v>513</v>
      </c>
      <c r="H193" t="s">
        <v>1370</v>
      </c>
      <c r="I193" s="2" t="s">
        <v>448</v>
      </c>
      <c r="J193" s="2" t="s">
        <v>78</v>
      </c>
      <c r="K193" t="s">
        <v>1378</v>
      </c>
      <c r="L193"/>
      <c r="M193"/>
      <c r="N193" s="65" t="s">
        <v>799</v>
      </c>
    </row>
    <row r="194" spans="1:14" x14ac:dyDescent="0.25">
      <c r="A194" s="34" t="s">
        <v>191</v>
      </c>
      <c r="B194" t="s">
        <v>1312</v>
      </c>
      <c r="C194" s="14" t="s">
        <v>3</v>
      </c>
      <c r="D194" s="14" t="s">
        <v>362</v>
      </c>
      <c r="E194" s="2" t="s">
        <v>515</v>
      </c>
      <c r="F194" t="s">
        <v>1372</v>
      </c>
      <c r="G194" s="12" t="s">
        <v>515</v>
      </c>
      <c r="H194" t="s">
        <v>1370</v>
      </c>
      <c r="I194" s="2" t="s">
        <v>448</v>
      </c>
      <c r="J194" s="2" t="s">
        <v>78</v>
      </c>
      <c r="K194" t="s">
        <v>1378</v>
      </c>
      <c r="L194"/>
      <c r="M194"/>
      <c r="N194" s="65" t="s">
        <v>799</v>
      </c>
    </row>
    <row r="195" spans="1:14" x14ac:dyDescent="0.25">
      <c r="A195" s="34" t="s">
        <v>191</v>
      </c>
      <c r="B195" t="s">
        <v>1312</v>
      </c>
      <c r="C195" s="14" t="s">
        <v>3</v>
      </c>
      <c r="D195" s="14" t="s">
        <v>362</v>
      </c>
      <c r="E195" s="2" t="s">
        <v>490</v>
      </c>
      <c r="F195" t="s">
        <v>1378</v>
      </c>
      <c r="G195" s="12" t="s">
        <v>797</v>
      </c>
      <c r="H195" t="s">
        <v>1367</v>
      </c>
      <c r="I195" s="2" t="s">
        <v>383</v>
      </c>
      <c r="J195" s="2" t="s">
        <v>43</v>
      </c>
      <c r="K195" t="s">
        <v>1378</v>
      </c>
      <c r="L195"/>
      <c r="M195"/>
      <c r="N195" s="65" t="s">
        <v>803</v>
      </c>
    </row>
    <row r="196" spans="1:14" x14ac:dyDescent="0.25">
      <c r="A196" s="34" t="s">
        <v>191</v>
      </c>
      <c r="B196" t="s">
        <v>1312</v>
      </c>
      <c r="C196" s="14" t="s">
        <v>3</v>
      </c>
      <c r="D196" s="14" t="s">
        <v>362</v>
      </c>
      <c r="E196" s="2" t="s">
        <v>535</v>
      </c>
      <c r="F196" t="s">
        <v>770</v>
      </c>
      <c r="G196" s="12" t="s">
        <v>535</v>
      </c>
      <c r="H196" t="s">
        <v>1313</v>
      </c>
      <c r="I196" s="2" t="s">
        <v>383</v>
      </c>
      <c r="J196" s="2" t="s">
        <v>43</v>
      </c>
      <c r="K196" t="s">
        <v>1378</v>
      </c>
      <c r="L196"/>
      <c r="M196"/>
      <c r="N196" s="65" t="s">
        <v>803</v>
      </c>
    </row>
    <row r="197" spans="1:14" x14ac:dyDescent="0.25">
      <c r="A197" s="34" t="s">
        <v>191</v>
      </c>
      <c r="B197" t="s">
        <v>1312</v>
      </c>
      <c r="C197" s="14" t="s">
        <v>3</v>
      </c>
      <c r="D197" s="14" t="s">
        <v>362</v>
      </c>
      <c r="E197" s="2" t="s">
        <v>536</v>
      </c>
      <c r="F197" t="s">
        <v>1314</v>
      </c>
      <c r="G197" s="12" t="s">
        <v>536</v>
      </c>
      <c r="H197" t="s">
        <v>1316</v>
      </c>
      <c r="I197" s="2" t="s">
        <v>383</v>
      </c>
      <c r="J197" s="2" t="s">
        <v>43</v>
      </c>
      <c r="K197" t="s">
        <v>1378</v>
      </c>
      <c r="L197"/>
      <c r="M197"/>
      <c r="N197" s="65" t="s">
        <v>803</v>
      </c>
    </row>
    <row r="198" spans="1:14" x14ac:dyDescent="0.25">
      <c r="A198" s="34" t="s">
        <v>191</v>
      </c>
      <c r="B198" t="s">
        <v>1312</v>
      </c>
      <c r="C198" s="14" t="s">
        <v>3</v>
      </c>
      <c r="D198" s="14" t="s">
        <v>362</v>
      </c>
      <c r="E198" s="2" t="s">
        <v>511</v>
      </c>
      <c r="F198" t="s">
        <v>1369</v>
      </c>
      <c r="G198" s="12" t="s">
        <v>800</v>
      </c>
      <c r="H198" t="s">
        <v>1369</v>
      </c>
      <c r="I198" s="2" t="s">
        <v>383</v>
      </c>
      <c r="J198" s="2" t="s">
        <v>78</v>
      </c>
      <c r="K198" t="s">
        <v>1378</v>
      </c>
      <c r="L198"/>
      <c r="M198"/>
      <c r="N198" s="65" t="s">
        <v>802</v>
      </c>
    </row>
    <row r="199" spans="1:14" x14ac:dyDescent="0.25">
      <c r="A199" s="34" t="s">
        <v>191</v>
      </c>
      <c r="B199" t="s">
        <v>1312</v>
      </c>
      <c r="C199" s="14" t="s">
        <v>3</v>
      </c>
      <c r="D199" s="14" t="s">
        <v>362</v>
      </c>
      <c r="E199" s="2" t="s">
        <v>792</v>
      </c>
      <c r="F199" t="s">
        <v>780</v>
      </c>
      <c r="G199" s="12" t="s">
        <v>801</v>
      </c>
      <c r="H199" t="s">
        <v>780</v>
      </c>
      <c r="I199" s="2" t="s">
        <v>383</v>
      </c>
      <c r="J199" s="2" t="s">
        <v>78</v>
      </c>
      <c r="K199" t="s">
        <v>1378</v>
      </c>
      <c r="L199"/>
      <c r="M199"/>
      <c r="N199" s="65" t="s">
        <v>802</v>
      </c>
    </row>
    <row r="200" spans="1:14" x14ac:dyDescent="0.25">
      <c r="A200" s="34" t="s">
        <v>191</v>
      </c>
      <c r="B200" t="s">
        <v>1312</v>
      </c>
      <c r="C200" s="14" t="s">
        <v>3</v>
      </c>
      <c r="D200" s="14" t="s">
        <v>362</v>
      </c>
      <c r="E200" s="2" t="s">
        <v>525</v>
      </c>
      <c r="F200" t="s">
        <v>1319</v>
      </c>
      <c r="G200" s="12" t="s">
        <v>525</v>
      </c>
      <c r="H200" t="s">
        <v>1319</v>
      </c>
      <c r="I200" s="2" t="s">
        <v>383</v>
      </c>
      <c r="J200" s="2" t="s">
        <v>78</v>
      </c>
      <c r="K200" t="s">
        <v>1378</v>
      </c>
      <c r="L200"/>
      <c r="M200"/>
      <c r="N200" s="65" t="s">
        <v>802</v>
      </c>
    </row>
    <row r="201" spans="1:14" x14ac:dyDescent="0.25">
      <c r="A201" s="34" t="s">
        <v>191</v>
      </c>
      <c r="B201" t="s">
        <v>1312</v>
      </c>
      <c r="C201" s="14" t="s">
        <v>3</v>
      </c>
      <c r="D201" s="14" t="s">
        <v>362</v>
      </c>
      <c r="E201" s="2" t="s">
        <v>526</v>
      </c>
      <c r="F201" t="s">
        <v>1344</v>
      </c>
      <c r="G201" s="12" t="s">
        <v>526</v>
      </c>
      <c r="H201" t="s">
        <v>1349</v>
      </c>
      <c r="I201" s="2" t="s">
        <v>1044</v>
      </c>
      <c r="J201" s="2" t="s">
        <v>78</v>
      </c>
      <c r="K201" t="s">
        <v>1378</v>
      </c>
      <c r="L201"/>
      <c r="M201"/>
      <c r="N201" s="65" t="s">
        <v>802</v>
      </c>
    </row>
    <row r="202" spans="1:14" x14ac:dyDescent="0.25">
      <c r="A202" s="34" t="s">
        <v>191</v>
      </c>
      <c r="B202" t="s">
        <v>1298</v>
      </c>
      <c r="C202" s="14" t="s">
        <v>3</v>
      </c>
      <c r="D202" s="14" t="s">
        <v>362</v>
      </c>
      <c r="E202" s="2" t="s">
        <v>490</v>
      </c>
      <c r="F202" t="s">
        <v>1378</v>
      </c>
      <c r="G202" s="12" t="s">
        <v>795</v>
      </c>
      <c r="H202" t="s">
        <v>1378</v>
      </c>
      <c r="I202" s="2" t="s">
        <v>383</v>
      </c>
      <c r="J202" s="2" t="s">
        <v>43</v>
      </c>
      <c r="K202" t="s">
        <v>1378</v>
      </c>
      <c r="L202"/>
      <c r="M202"/>
      <c r="N202" s="65" t="s">
        <v>1371</v>
      </c>
    </row>
    <row r="203" spans="1:14" x14ac:dyDescent="0.25">
      <c r="A203" s="34" t="s">
        <v>1028</v>
      </c>
      <c r="B203"/>
      <c r="C203" s="14" t="s">
        <v>3</v>
      </c>
      <c r="D203" s="14" t="s">
        <v>362</v>
      </c>
      <c r="E203" s="2" t="s">
        <v>511</v>
      </c>
      <c r="F203"/>
      <c r="G203" s="12" t="s">
        <v>800</v>
      </c>
      <c r="H203"/>
      <c r="I203" s="2" t="s">
        <v>383</v>
      </c>
      <c r="J203" s="2" t="s">
        <v>43</v>
      </c>
      <c r="K203"/>
      <c r="L203"/>
      <c r="M203"/>
      <c r="N203" s="65" t="s">
        <v>1371</v>
      </c>
    </row>
    <row r="204" spans="1:14" x14ac:dyDescent="0.25">
      <c r="A204" s="34" t="s">
        <v>191</v>
      </c>
      <c r="B204" t="s">
        <v>1298</v>
      </c>
      <c r="C204" s="14" t="s">
        <v>3</v>
      </c>
      <c r="D204" s="14" t="s">
        <v>362</v>
      </c>
      <c r="E204" s="2" t="s">
        <v>686</v>
      </c>
      <c r="F204" t="s">
        <v>781</v>
      </c>
      <c r="G204" s="12" t="s">
        <v>686</v>
      </c>
      <c r="H204" t="s">
        <v>781</v>
      </c>
      <c r="I204" s="2" t="s">
        <v>383</v>
      </c>
      <c r="J204" s="2" t="s">
        <v>43</v>
      </c>
      <c r="K204" t="s">
        <v>1378</v>
      </c>
      <c r="L204"/>
      <c r="M204"/>
      <c r="N204" s="65" t="s">
        <v>1371</v>
      </c>
    </row>
    <row r="205" spans="1:14" x14ac:dyDescent="0.25">
      <c r="A205" s="34" t="s">
        <v>191</v>
      </c>
      <c r="B205" t="s">
        <v>1298</v>
      </c>
      <c r="C205" s="14" t="s">
        <v>3</v>
      </c>
      <c r="D205" s="14" t="s">
        <v>362</v>
      </c>
      <c r="E205" s="2" t="s">
        <v>687</v>
      </c>
      <c r="F205" t="s">
        <v>782</v>
      </c>
      <c r="G205" s="12" t="s">
        <v>687</v>
      </c>
      <c r="H205" t="s">
        <v>782</v>
      </c>
      <c r="I205" s="2" t="s">
        <v>383</v>
      </c>
      <c r="J205" s="2" t="s">
        <v>43</v>
      </c>
      <c r="K205" t="s">
        <v>1378</v>
      </c>
      <c r="L205"/>
      <c r="M205"/>
      <c r="N205" s="65" t="s">
        <v>1371</v>
      </c>
    </row>
    <row r="206" spans="1:14" x14ac:dyDescent="0.25">
      <c r="A206" s="34" t="s">
        <v>192</v>
      </c>
      <c r="B206" t="s">
        <v>1298</v>
      </c>
      <c r="C206" s="14" t="s">
        <v>3</v>
      </c>
      <c r="D206" s="14" t="s">
        <v>362</v>
      </c>
      <c r="E206" s="2" t="s">
        <v>1052</v>
      </c>
      <c r="F206" t="s">
        <v>1387</v>
      </c>
      <c r="G206" s="2" t="s">
        <v>1052</v>
      </c>
      <c r="H206" t="s">
        <v>1387</v>
      </c>
      <c r="I206" s="2" t="s">
        <v>383</v>
      </c>
      <c r="J206" s="73" t="s">
        <v>78</v>
      </c>
      <c r="K206"/>
      <c r="L206" t="s">
        <v>1387</v>
      </c>
      <c r="M206"/>
      <c r="N206" s="65" t="s">
        <v>1053</v>
      </c>
    </row>
    <row r="207" spans="1:14" x14ac:dyDescent="0.25">
      <c r="A207" s="34" t="s">
        <v>192</v>
      </c>
      <c r="B207" t="s">
        <v>1298</v>
      </c>
      <c r="C207" s="14" t="s">
        <v>3</v>
      </c>
      <c r="D207" s="14" t="s">
        <v>362</v>
      </c>
      <c r="E207" s="2" t="s">
        <v>526</v>
      </c>
      <c r="F207" t="s">
        <v>1344</v>
      </c>
      <c r="G207" s="2" t="s">
        <v>526</v>
      </c>
      <c r="H207" t="s">
        <v>1349</v>
      </c>
      <c r="I207" s="2" t="s">
        <v>1044</v>
      </c>
      <c r="J207" s="73" t="s">
        <v>78</v>
      </c>
      <c r="K207"/>
      <c r="L207" t="s">
        <v>1387</v>
      </c>
      <c r="M207"/>
      <c r="N207" s="65" t="s">
        <v>1053</v>
      </c>
    </row>
    <row r="208" spans="1:14" x14ac:dyDescent="0.25">
      <c r="A208" s="34" t="s">
        <v>192</v>
      </c>
      <c r="B208" t="s">
        <v>1298</v>
      </c>
      <c r="C208" s="14" t="s">
        <v>3</v>
      </c>
      <c r="D208" s="14" t="s">
        <v>362</v>
      </c>
      <c r="E208" s="2" t="s">
        <v>613</v>
      </c>
      <c r="F208" t="s">
        <v>1390</v>
      </c>
      <c r="G208" s="2" t="s">
        <v>613</v>
      </c>
      <c r="H208" t="s">
        <v>1391</v>
      </c>
      <c r="I208" s="2" t="s">
        <v>1044</v>
      </c>
      <c r="J208" s="73" t="s">
        <v>78</v>
      </c>
      <c r="K208"/>
      <c r="L208" t="s">
        <v>1387</v>
      </c>
      <c r="M208"/>
      <c r="N208" s="65" t="s">
        <v>1053</v>
      </c>
    </row>
    <row r="209" spans="1:18" x14ac:dyDescent="0.25">
      <c r="A209" s="34" t="s">
        <v>192</v>
      </c>
      <c r="B209" t="s">
        <v>1298</v>
      </c>
      <c r="C209" s="14" t="s">
        <v>3</v>
      </c>
      <c r="D209" s="14" t="s">
        <v>362</v>
      </c>
      <c r="E209" s="2" t="s">
        <v>515</v>
      </c>
      <c r="F209" t="s">
        <v>1383</v>
      </c>
      <c r="G209" s="2" t="s">
        <v>923</v>
      </c>
      <c r="H209" t="s">
        <v>1392</v>
      </c>
      <c r="I209" s="2" t="s">
        <v>448</v>
      </c>
      <c r="J209" s="73" t="s">
        <v>78</v>
      </c>
      <c r="K209"/>
      <c r="L209" t="s">
        <v>1387</v>
      </c>
      <c r="M209"/>
      <c r="N209" s="65" t="s">
        <v>1053</v>
      </c>
    </row>
    <row r="210" spans="1:18" x14ac:dyDescent="0.25">
      <c r="A210" s="34" t="s">
        <v>192</v>
      </c>
      <c r="B210" t="s">
        <v>1298</v>
      </c>
      <c r="C210" s="14" t="s">
        <v>3</v>
      </c>
      <c r="D210" s="14" t="s">
        <v>362</v>
      </c>
      <c r="E210" s="2" t="s">
        <v>515</v>
      </c>
      <c r="F210" t="s">
        <v>1383</v>
      </c>
      <c r="G210" s="2" t="s">
        <v>924</v>
      </c>
      <c r="H210" t="s">
        <v>1392</v>
      </c>
      <c r="I210" s="2" t="s">
        <v>448</v>
      </c>
      <c r="J210" s="73" t="s">
        <v>78</v>
      </c>
      <c r="K210"/>
      <c r="L210" t="s">
        <v>1387</v>
      </c>
      <c r="M210"/>
      <c r="N210" s="65" t="s">
        <v>1053</v>
      </c>
    </row>
    <row r="211" spans="1:18" x14ac:dyDescent="0.25">
      <c r="A211" s="34" t="s">
        <v>192</v>
      </c>
      <c r="B211" t="s">
        <v>1298</v>
      </c>
      <c r="C211" s="14" t="s">
        <v>3</v>
      </c>
      <c r="D211" s="14" t="s">
        <v>362</v>
      </c>
      <c r="E211" s="2" t="s">
        <v>1054</v>
      </c>
      <c r="F211" t="s">
        <v>1388</v>
      </c>
      <c r="G211" s="2" t="s">
        <v>1054</v>
      </c>
      <c r="H211" t="s">
        <v>1393</v>
      </c>
      <c r="I211" s="2" t="s">
        <v>1395</v>
      </c>
      <c r="J211" s="73" t="s">
        <v>78</v>
      </c>
      <c r="K211"/>
      <c r="L211" t="s">
        <v>1387</v>
      </c>
      <c r="M211"/>
      <c r="N211" s="65" t="s">
        <v>1056</v>
      </c>
    </row>
    <row r="212" spans="1:18" x14ac:dyDescent="0.25">
      <c r="A212" s="34" t="s">
        <v>192</v>
      </c>
      <c r="B212" t="s">
        <v>1298</v>
      </c>
      <c r="C212" s="14" t="s">
        <v>3</v>
      </c>
      <c r="D212" s="14" t="s">
        <v>362</v>
      </c>
      <c r="E212" s="2" t="s">
        <v>1055</v>
      </c>
      <c r="F212" t="s">
        <v>1389</v>
      </c>
      <c r="G212" s="2" t="s">
        <v>1055</v>
      </c>
      <c r="H212" t="s">
        <v>1394</v>
      </c>
      <c r="I212" s="2" t="s">
        <v>1395</v>
      </c>
      <c r="J212" s="73" t="s">
        <v>78</v>
      </c>
      <c r="K212"/>
      <c r="L212" t="s">
        <v>1387</v>
      </c>
      <c r="M212"/>
      <c r="N212" s="65" t="s">
        <v>1056</v>
      </c>
    </row>
    <row r="213" spans="1:18" x14ac:dyDescent="0.25">
      <c r="A213" s="84" t="s">
        <v>911</v>
      </c>
      <c r="B213"/>
      <c r="C213" s="67" t="s">
        <v>3</v>
      </c>
      <c r="D213" s="67" t="s">
        <v>362</v>
      </c>
      <c r="E213" s="2" t="s">
        <v>1052</v>
      </c>
      <c r="F213"/>
      <c r="G213" s="2" t="s">
        <v>1052</v>
      </c>
      <c r="H213"/>
      <c r="I213" s="2" t="s">
        <v>383</v>
      </c>
      <c r="J213" s="73" t="s">
        <v>78</v>
      </c>
      <c r="K213"/>
      <c r="L213"/>
      <c r="M213"/>
      <c r="N213" s="65" t="s">
        <v>1059</v>
      </c>
    </row>
    <row r="214" spans="1:18" x14ac:dyDescent="0.25">
      <c r="A214" s="84" t="s">
        <v>911</v>
      </c>
      <c r="B214"/>
      <c r="C214" s="67" t="s">
        <v>3</v>
      </c>
      <c r="D214" s="67" t="s">
        <v>362</v>
      </c>
      <c r="E214" s="2" t="s">
        <v>526</v>
      </c>
      <c r="F214"/>
      <c r="G214" s="2" t="s">
        <v>526</v>
      </c>
      <c r="H214"/>
      <c r="I214" s="2" t="s">
        <v>1044</v>
      </c>
      <c r="J214" s="73" t="s">
        <v>78</v>
      </c>
      <c r="K214"/>
      <c r="L214"/>
      <c r="M214"/>
      <c r="N214" s="65" t="s">
        <v>1059</v>
      </c>
    </row>
    <row r="215" spans="1:18" x14ac:dyDescent="0.25">
      <c r="A215" s="84" t="s">
        <v>911</v>
      </c>
      <c r="B215"/>
      <c r="C215" s="67" t="s">
        <v>3</v>
      </c>
      <c r="D215" s="67" t="s">
        <v>362</v>
      </c>
      <c r="E215" s="2" t="s">
        <v>613</v>
      </c>
      <c r="F215"/>
      <c r="G215" s="2" t="s">
        <v>613</v>
      </c>
      <c r="H215"/>
      <c r="I215" s="2" t="s">
        <v>1044</v>
      </c>
      <c r="J215" s="73" t="s">
        <v>78</v>
      </c>
      <c r="K215"/>
      <c r="L215"/>
      <c r="M215"/>
      <c r="N215" s="65" t="s">
        <v>1059</v>
      </c>
    </row>
    <row r="216" spans="1:18" x14ac:dyDescent="0.25">
      <c r="A216" s="84" t="s">
        <v>911</v>
      </c>
      <c r="B216"/>
      <c r="C216" s="67" t="s">
        <v>3</v>
      </c>
      <c r="D216" s="67" t="s">
        <v>362</v>
      </c>
      <c r="E216" s="2" t="s">
        <v>1060</v>
      </c>
      <c r="F216"/>
      <c r="G216" s="2" t="s">
        <v>1060</v>
      </c>
      <c r="H216"/>
      <c r="I216" s="2" t="s">
        <v>448</v>
      </c>
      <c r="J216" s="73" t="s">
        <v>78</v>
      </c>
      <c r="K216"/>
      <c r="L216"/>
      <c r="M216"/>
      <c r="N216" s="65" t="s">
        <v>1063</v>
      </c>
    </row>
    <row r="217" spans="1:18" x14ac:dyDescent="0.25">
      <c r="A217" s="84" t="s">
        <v>911</v>
      </c>
      <c r="B217"/>
      <c r="C217" s="67" t="s">
        <v>3</v>
      </c>
      <c r="D217" s="67" t="s">
        <v>362</v>
      </c>
      <c r="E217" s="2" t="s">
        <v>1062</v>
      </c>
      <c r="F217"/>
      <c r="G217" s="2" t="s">
        <v>1062</v>
      </c>
      <c r="H217"/>
      <c r="I217" s="2" t="s">
        <v>448</v>
      </c>
      <c r="J217" s="73" t="s">
        <v>78</v>
      </c>
      <c r="K217"/>
      <c r="L217"/>
      <c r="M217"/>
      <c r="N217" s="65" t="s">
        <v>1063</v>
      </c>
    </row>
    <row r="218" spans="1:18" x14ac:dyDescent="0.25">
      <c r="A218" s="84" t="s">
        <v>911</v>
      </c>
      <c r="B218"/>
      <c r="C218" s="67" t="s">
        <v>3</v>
      </c>
      <c r="D218" s="67" t="s">
        <v>362</v>
      </c>
      <c r="E218" s="2" t="s">
        <v>1054</v>
      </c>
      <c r="F218"/>
      <c r="G218" s="2" t="s">
        <v>1054</v>
      </c>
      <c r="H218"/>
      <c r="I218" s="2" t="s">
        <v>448</v>
      </c>
      <c r="J218" s="73" t="s">
        <v>78</v>
      </c>
      <c r="K218"/>
      <c r="L218"/>
      <c r="M218"/>
      <c r="N218" s="65" t="s">
        <v>1056</v>
      </c>
    </row>
    <row r="219" spans="1:18" x14ac:dyDescent="0.25">
      <c r="A219" s="84" t="s">
        <v>911</v>
      </c>
      <c r="B219"/>
      <c r="C219" s="67" t="s">
        <v>3</v>
      </c>
      <c r="D219" s="67" t="s">
        <v>362</v>
      </c>
      <c r="E219" s="2" t="s">
        <v>1055</v>
      </c>
      <c r="F219"/>
      <c r="G219" s="2" t="s">
        <v>1055</v>
      </c>
      <c r="H219"/>
      <c r="I219" s="2" t="s">
        <v>448</v>
      </c>
      <c r="J219" s="73" t="s">
        <v>78</v>
      </c>
      <c r="K219"/>
      <c r="L219"/>
      <c r="M219"/>
      <c r="N219" s="65" t="s">
        <v>1056</v>
      </c>
    </row>
    <row r="220" spans="1:18" x14ac:dyDescent="0.25">
      <c r="A220" s="84" t="s">
        <v>912</v>
      </c>
      <c r="B220" t="s">
        <v>1298</v>
      </c>
      <c r="C220" s="67" t="s">
        <v>3</v>
      </c>
      <c r="D220" s="67" t="s">
        <v>362</v>
      </c>
      <c r="E220" s="73" t="s">
        <v>377</v>
      </c>
      <c r="F220" t="s">
        <v>2116</v>
      </c>
      <c r="G220" s="73" t="s">
        <v>377</v>
      </c>
      <c r="H220" t="s">
        <v>2116</v>
      </c>
      <c r="I220" s="73" t="s">
        <v>383</v>
      </c>
      <c r="J220" s="73" t="s">
        <v>78</v>
      </c>
      <c r="K220"/>
      <c r="L220" t="s">
        <v>2116</v>
      </c>
      <c r="M220"/>
      <c r="N220" s="88" t="s">
        <v>2043</v>
      </c>
      <c r="O220" s="72"/>
      <c r="P220" s="72"/>
      <c r="Q220" s="72"/>
      <c r="R220" s="72"/>
    </row>
    <row r="221" spans="1:18" x14ac:dyDescent="0.25">
      <c r="A221" s="84" t="s">
        <v>912</v>
      </c>
      <c r="B221" t="s">
        <v>1298</v>
      </c>
      <c r="C221" s="67" t="s">
        <v>3</v>
      </c>
      <c r="D221" s="67" t="s">
        <v>362</v>
      </c>
      <c r="E221" s="73" t="s">
        <v>686</v>
      </c>
      <c r="F221" t="s">
        <v>2117</v>
      </c>
      <c r="G221" s="73" t="s">
        <v>929</v>
      </c>
      <c r="H221" t="s">
        <v>2117</v>
      </c>
      <c r="I221" s="73" t="s">
        <v>383</v>
      </c>
      <c r="J221" s="73" t="s">
        <v>78</v>
      </c>
      <c r="K221"/>
      <c r="L221" t="s">
        <v>2116</v>
      </c>
      <c r="M221"/>
      <c r="N221" s="88" t="s">
        <v>2043</v>
      </c>
      <c r="O221" s="72"/>
      <c r="P221" s="72"/>
      <c r="Q221" s="72"/>
      <c r="R221" s="72"/>
    </row>
    <row r="222" spans="1:18" x14ac:dyDescent="0.25">
      <c r="A222" s="84" t="s">
        <v>912</v>
      </c>
      <c r="B222" t="s">
        <v>1298</v>
      </c>
      <c r="C222" s="67" t="s">
        <v>3</v>
      </c>
      <c r="D222" s="67" t="s">
        <v>362</v>
      </c>
      <c r="E222" s="73" t="s">
        <v>687</v>
      </c>
      <c r="F222" t="s">
        <v>931</v>
      </c>
      <c r="G222" s="73" t="s">
        <v>930</v>
      </c>
      <c r="H222" t="s">
        <v>931</v>
      </c>
      <c r="I222" s="73" t="s">
        <v>383</v>
      </c>
      <c r="J222" s="73" t="s">
        <v>78</v>
      </c>
      <c r="K222"/>
      <c r="L222" t="s">
        <v>2116</v>
      </c>
      <c r="M222"/>
      <c r="N222" s="88" t="s">
        <v>2043</v>
      </c>
      <c r="O222" s="72"/>
      <c r="P222" s="72"/>
      <c r="Q222" s="72"/>
      <c r="R222" s="72"/>
    </row>
    <row r="223" spans="1:18" x14ac:dyDescent="0.25">
      <c r="A223" s="84" t="s">
        <v>912</v>
      </c>
      <c r="B223" t="s">
        <v>1298</v>
      </c>
      <c r="C223" s="67" t="s">
        <v>3</v>
      </c>
      <c r="D223" s="67" t="s">
        <v>362</v>
      </c>
      <c r="E223" s="73" t="s">
        <v>689</v>
      </c>
      <c r="F223" t="s">
        <v>933</v>
      </c>
      <c r="G223" s="73" t="s">
        <v>932</v>
      </c>
      <c r="H223" t="s">
        <v>2119</v>
      </c>
      <c r="I223" s="73" t="s">
        <v>461</v>
      </c>
      <c r="J223" s="73" t="s">
        <v>78</v>
      </c>
      <c r="K223"/>
      <c r="L223" t="s">
        <v>2116</v>
      </c>
      <c r="M223"/>
      <c r="N223" s="88" t="s">
        <v>2043</v>
      </c>
      <c r="O223" s="72"/>
      <c r="P223" s="72"/>
      <c r="Q223" s="72"/>
      <c r="R223" s="72"/>
    </row>
    <row r="224" spans="1:18" x14ac:dyDescent="0.25">
      <c r="A224" s="84" t="s">
        <v>912</v>
      </c>
      <c r="B224" t="s">
        <v>1298</v>
      </c>
      <c r="C224" s="67" t="s">
        <v>3</v>
      </c>
      <c r="D224" s="67" t="s">
        <v>362</v>
      </c>
      <c r="E224" s="73" t="s">
        <v>690</v>
      </c>
      <c r="F224" t="s">
        <v>300</v>
      </c>
      <c r="G224" s="73" t="s">
        <v>934</v>
      </c>
      <c r="H224" t="s">
        <v>300</v>
      </c>
      <c r="I224" s="73" t="s">
        <v>726</v>
      </c>
      <c r="J224" s="73" t="s">
        <v>78</v>
      </c>
      <c r="K224"/>
      <c r="L224" t="s">
        <v>2116</v>
      </c>
      <c r="M224"/>
      <c r="N224" s="88" t="s">
        <v>2043</v>
      </c>
      <c r="O224" s="72"/>
      <c r="P224" s="72"/>
      <c r="Q224" s="72"/>
      <c r="R224" s="72"/>
    </row>
    <row r="225" spans="1:18" x14ac:dyDescent="0.25">
      <c r="A225" s="84" t="s">
        <v>912</v>
      </c>
      <c r="B225" t="s">
        <v>1298</v>
      </c>
      <c r="C225" s="67" t="s">
        <v>3</v>
      </c>
      <c r="D225" s="67" t="s">
        <v>362</v>
      </c>
      <c r="E225" s="73" t="s">
        <v>685</v>
      </c>
      <c r="F225" t="s">
        <v>1330</v>
      </c>
      <c r="G225" s="73" t="s">
        <v>927</v>
      </c>
      <c r="H225" t="s">
        <v>1336</v>
      </c>
      <c r="I225" s="73" t="s">
        <v>461</v>
      </c>
      <c r="J225" s="73" t="s">
        <v>78</v>
      </c>
      <c r="K225"/>
      <c r="L225" t="s">
        <v>2116</v>
      </c>
      <c r="M225"/>
      <c r="N225" s="88" t="s">
        <v>2080</v>
      </c>
      <c r="O225" s="72"/>
      <c r="P225" s="72"/>
      <c r="Q225" s="72"/>
      <c r="R225" s="72"/>
    </row>
    <row r="226" spans="1:18" x14ac:dyDescent="0.25">
      <c r="A226" s="84" t="s">
        <v>912</v>
      </c>
      <c r="B226" t="s">
        <v>1298</v>
      </c>
      <c r="C226" s="67" t="s">
        <v>3</v>
      </c>
      <c r="D226" s="67" t="s">
        <v>362</v>
      </c>
      <c r="E226" s="73" t="s">
        <v>688</v>
      </c>
      <c r="F226" t="s">
        <v>2118</v>
      </c>
      <c r="G226" s="73" t="s">
        <v>928</v>
      </c>
      <c r="H226" t="s">
        <v>2118</v>
      </c>
      <c r="I226" s="73" t="s">
        <v>383</v>
      </c>
      <c r="J226" s="73" t="s">
        <v>78</v>
      </c>
      <c r="K226"/>
      <c r="L226" t="s">
        <v>2116</v>
      </c>
      <c r="M226"/>
      <c r="N226" s="88" t="s">
        <v>2081</v>
      </c>
      <c r="O226" s="72"/>
      <c r="P226" s="72"/>
      <c r="Q226" s="72"/>
      <c r="R226" s="72"/>
    </row>
    <row r="227" spans="1:18" x14ac:dyDescent="0.25">
      <c r="A227" s="84" t="s">
        <v>912</v>
      </c>
      <c r="B227" t="s">
        <v>1298</v>
      </c>
      <c r="C227" s="67" t="s">
        <v>3</v>
      </c>
      <c r="D227" s="67" t="s">
        <v>362</v>
      </c>
      <c r="E227" s="73" t="s">
        <v>512</v>
      </c>
      <c r="F227" t="s">
        <v>2078</v>
      </c>
      <c r="G227" s="73" t="s">
        <v>513</v>
      </c>
      <c r="H227" t="s">
        <v>2087</v>
      </c>
      <c r="I227" s="73" t="s">
        <v>448</v>
      </c>
      <c r="J227" s="73" t="s">
        <v>78</v>
      </c>
      <c r="K227"/>
      <c r="L227" t="s">
        <v>2116</v>
      </c>
      <c r="M227"/>
      <c r="N227" s="88" t="s">
        <v>2082</v>
      </c>
      <c r="O227" s="72"/>
      <c r="P227" s="72"/>
      <c r="Q227" s="72"/>
      <c r="R227" s="72"/>
    </row>
    <row r="228" spans="1:18" x14ac:dyDescent="0.25">
      <c r="A228" s="84" t="s">
        <v>912</v>
      </c>
      <c r="B228" t="s">
        <v>1298</v>
      </c>
      <c r="C228" s="67" t="s">
        <v>3</v>
      </c>
      <c r="D228" s="67" t="s">
        <v>362</v>
      </c>
      <c r="E228" s="73" t="s">
        <v>514</v>
      </c>
      <c r="F228" t="s">
        <v>2078</v>
      </c>
      <c r="G228" s="73" t="s">
        <v>515</v>
      </c>
      <c r="H228" t="s">
        <v>2120</v>
      </c>
      <c r="I228" s="73" t="s">
        <v>448</v>
      </c>
      <c r="J228" s="73" t="s">
        <v>78</v>
      </c>
      <c r="K228"/>
      <c r="L228" t="s">
        <v>2116</v>
      </c>
      <c r="M228"/>
      <c r="N228" s="88" t="s">
        <v>2082</v>
      </c>
      <c r="O228" s="72"/>
      <c r="P228" s="72"/>
      <c r="Q228" s="72"/>
      <c r="R228" s="72"/>
    </row>
    <row r="229" spans="1:18" x14ac:dyDescent="0.25">
      <c r="A229" s="84" t="s">
        <v>912</v>
      </c>
      <c r="B229" t="s">
        <v>1298</v>
      </c>
      <c r="C229" s="67" t="s">
        <v>3</v>
      </c>
      <c r="D229" s="67" t="s">
        <v>362</v>
      </c>
      <c r="E229" s="73" t="s">
        <v>1081</v>
      </c>
      <c r="F229" t="s">
        <v>2044</v>
      </c>
      <c r="G229" s="73" t="s">
        <v>981</v>
      </c>
      <c r="H229" t="s">
        <v>2044</v>
      </c>
      <c r="I229" s="73" t="s">
        <v>383</v>
      </c>
      <c r="J229" s="73" t="s">
        <v>78</v>
      </c>
      <c r="K229"/>
      <c r="L229" t="s">
        <v>2116</v>
      </c>
      <c r="M229"/>
      <c r="N229" s="88" t="s">
        <v>2083</v>
      </c>
      <c r="O229" s="72"/>
      <c r="P229" s="72"/>
      <c r="Q229" s="72"/>
      <c r="R229" s="72"/>
    </row>
    <row r="230" spans="1:18" x14ac:dyDescent="0.25">
      <c r="A230" s="84" t="s">
        <v>912</v>
      </c>
      <c r="B230" t="s">
        <v>1298</v>
      </c>
      <c r="C230" s="67" t="s">
        <v>3</v>
      </c>
      <c r="D230" s="67" t="s">
        <v>362</v>
      </c>
      <c r="E230" s="73" t="s">
        <v>1082</v>
      </c>
      <c r="F230" t="s">
        <v>2045</v>
      </c>
      <c r="G230" s="73" t="s">
        <v>982</v>
      </c>
      <c r="H230" t="s">
        <v>2045</v>
      </c>
      <c r="I230" s="73" t="s">
        <v>383</v>
      </c>
      <c r="J230" s="73" t="s">
        <v>78</v>
      </c>
      <c r="K230"/>
      <c r="L230" t="s">
        <v>2116</v>
      </c>
      <c r="M230"/>
      <c r="N230" s="88" t="s">
        <v>2084</v>
      </c>
      <c r="O230" s="72"/>
      <c r="P230" s="72"/>
      <c r="Q230" s="72"/>
      <c r="R230" s="72"/>
    </row>
    <row r="231" spans="1:18" x14ac:dyDescent="0.25">
      <c r="A231" s="84" t="s">
        <v>912</v>
      </c>
      <c r="B231" t="s">
        <v>1298</v>
      </c>
      <c r="C231" s="67" t="s">
        <v>3</v>
      </c>
      <c r="D231" s="67" t="s">
        <v>362</v>
      </c>
      <c r="E231" s="73" t="s">
        <v>1079</v>
      </c>
      <c r="F231" t="s">
        <v>668</v>
      </c>
      <c r="G231" s="73" t="s">
        <v>925</v>
      </c>
      <c r="H231" t="s">
        <v>1337</v>
      </c>
      <c r="I231" s="73" t="s">
        <v>726</v>
      </c>
      <c r="J231" s="73" t="s">
        <v>78</v>
      </c>
      <c r="K231"/>
      <c r="L231" t="s">
        <v>2116</v>
      </c>
      <c r="M231"/>
      <c r="N231" s="88" t="s">
        <v>2085</v>
      </c>
      <c r="O231" s="72"/>
      <c r="P231" s="72"/>
      <c r="Q231" s="72"/>
      <c r="R231" s="72"/>
    </row>
    <row r="232" spans="1:18" x14ac:dyDescent="0.25">
      <c r="A232" s="84" t="s">
        <v>912</v>
      </c>
      <c r="B232" t="s">
        <v>1298</v>
      </c>
      <c r="C232" s="67" t="s">
        <v>3</v>
      </c>
      <c r="D232" s="67" t="s">
        <v>362</v>
      </c>
      <c r="E232" s="73" t="s">
        <v>1080</v>
      </c>
      <c r="F232" t="s">
        <v>669</v>
      </c>
      <c r="G232" s="73" t="s">
        <v>926</v>
      </c>
      <c r="H232" t="s">
        <v>1338</v>
      </c>
      <c r="I232" s="73" t="s">
        <v>726</v>
      </c>
      <c r="J232" s="73" t="s">
        <v>78</v>
      </c>
      <c r="K232"/>
      <c r="L232" t="s">
        <v>2116</v>
      </c>
      <c r="M232"/>
      <c r="N232" s="88" t="s">
        <v>2086</v>
      </c>
      <c r="O232" s="72"/>
      <c r="P232" s="72"/>
      <c r="Q232" s="72"/>
      <c r="R232" s="72"/>
    </row>
    <row r="233" spans="1:18" x14ac:dyDescent="0.25">
      <c r="A233" s="84" t="s">
        <v>912</v>
      </c>
      <c r="B233" t="s">
        <v>1298</v>
      </c>
      <c r="C233" s="67" t="s">
        <v>3</v>
      </c>
      <c r="D233" s="67" t="s">
        <v>362</v>
      </c>
      <c r="E233" s="73" t="s">
        <v>377</v>
      </c>
      <c r="F233" t="s">
        <v>2116</v>
      </c>
      <c r="G233" s="73" t="s">
        <v>983</v>
      </c>
      <c r="H233" t="s">
        <v>2116</v>
      </c>
      <c r="I233" s="73" t="s">
        <v>383</v>
      </c>
      <c r="J233" s="73" t="s">
        <v>78</v>
      </c>
      <c r="K233"/>
      <c r="L233" t="s">
        <v>2116</v>
      </c>
      <c r="M233"/>
      <c r="N233" s="88" t="s">
        <v>2079</v>
      </c>
      <c r="O233" s="72"/>
      <c r="P233" s="72"/>
      <c r="Q233" s="72"/>
      <c r="R233" s="72"/>
    </row>
    <row r="234" spans="1:18" x14ac:dyDescent="0.25">
      <c r="A234" s="84" t="s">
        <v>912</v>
      </c>
      <c r="B234" t="s">
        <v>1298</v>
      </c>
      <c r="C234" s="67" t="s">
        <v>3</v>
      </c>
      <c r="D234" s="67" t="s">
        <v>362</v>
      </c>
      <c r="E234" s="73" t="s">
        <v>686</v>
      </c>
      <c r="F234" t="s">
        <v>2117</v>
      </c>
      <c r="G234" s="73" t="s">
        <v>935</v>
      </c>
      <c r="H234" t="s">
        <v>2117</v>
      </c>
      <c r="I234" s="73" t="s">
        <v>383</v>
      </c>
      <c r="J234" s="73" t="s">
        <v>78</v>
      </c>
      <c r="K234"/>
      <c r="L234" t="s">
        <v>2116</v>
      </c>
      <c r="M234"/>
      <c r="N234" s="88" t="s">
        <v>2079</v>
      </c>
      <c r="O234" s="72"/>
      <c r="P234" s="72"/>
      <c r="Q234" s="72"/>
      <c r="R234" s="72"/>
    </row>
    <row r="235" spans="1:18" x14ac:dyDescent="0.25">
      <c r="A235" s="84" t="s">
        <v>912</v>
      </c>
      <c r="B235" t="s">
        <v>1298</v>
      </c>
      <c r="C235" s="67" t="s">
        <v>3</v>
      </c>
      <c r="D235" s="67" t="s">
        <v>362</v>
      </c>
      <c r="E235" s="73" t="s">
        <v>687</v>
      </c>
      <c r="F235" t="s">
        <v>931</v>
      </c>
      <c r="G235" s="73" t="s">
        <v>936</v>
      </c>
      <c r="H235" t="s">
        <v>931</v>
      </c>
      <c r="I235" s="73" t="s">
        <v>383</v>
      </c>
      <c r="J235" s="73" t="s">
        <v>78</v>
      </c>
      <c r="K235"/>
      <c r="L235" t="s">
        <v>2116</v>
      </c>
      <c r="M235"/>
      <c r="N235" s="88" t="s">
        <v>2079</v>
      </c>
      <c r="O235" s="72"/>
      <c r="P235" s="72"/>
      <c r="Q235" s="72"/>
      <c r="R235" s="72"/>
    </row>
    <row r="236" spans="1:18" x14ac:dyDescent="0.25">
      <c r="A236" s="84" t="s">
        <v>912</v>
      </c>
      <c r="B236" t="s">
        <v>1298</v>
      </c>
      <c r="C236" s="67" t="s">
        <v>3</v>
      </c>
      <c r="D236" s="67" t="s">
        <v>362</v>
      </c>
      <c r="E236" s="73" t="s">
        <v>689</v>
      </c>
      <c r="F236" t="s">
        <v>933</v>
      </c>
      <c r="G236" s="73" t="s">
        <v>937</v>
      </c>
      <c r="H236" t="s">
        <v>2119</v>
      </c>
      <c r="I236" s="73" t="s">
        <v>461</v>
      </c>
      <c r="J236" s="73" t="s">
        <v>78</v>
      </c>
      <c r="K236"/>
      <c r="L236" t="s">
        <v>2116</v>
      </c>
      <c r="M236"/>
      <c r="N236" s="88" t="s">
        <v>2079</v>
      </c>
      <c r="O236" s="72"/>
      <c r="P236" s="72"/>
      <c r="Q236" s="72"/>
      <c r="R236" s="72"/>
    </row>
    <row r="237" spans="1:18" x14ac:dyDescent="0.25">
      <c r="A237" s="84" t="s">
        <v>912</v>
      </c>
      <c r="B237" t="s">
        <v>1298</v>
      </c>
      <c r="C237" s="67" t="s">
        <v>3</v>
      </c>
      <c r="D237" s="67" t="s">
        <v>362</v>
      </c>
      <c r="E237" s="73" t="s">
        <v>690</v>
      </c>
      <c r="F237" t="s">
        <v>300</v>
      </c>
      <c r="G237" s="73" t="s">
        <v>938</v>
      </c>
      <c r="H237" t="s">
        <v>300</v>
      </c>
      <c r="I237" s="73" t="s">
        <v>726</v>
      </c>
      <c r="J237" s="73" t="s">
        <v>78</v>
      </c>
      <c r="K237"/>
      <c r="L237" t="s">
        <v>2116</v>
      </c>
      <c r="M237"/>
      <c r="N237" s="88" t="s">
        <v>2079</v>
      </c>
      <c r="O237" s="72"/>
      <c r="P237" s="72"/>
      <c r="Q237" s="72"/>
      <c r="R237" s="72"/>
    </row>
    <row r="238" spans="1:18" x14ac:dyDescent="0.25">
      <c r="A238" s="84" t="s">
        <v>912</v>
      </c>
      <c r="B238" t="s">
        <v>1298</v>
      </c>
      <c r="C238" s="67" t="s">
        <v>3</v>
      </c>
      <c r="D238" s="67" t="s">
        <v>362</v>
      </c>
      <c r="E238" s="73" t="s">
        <v>512</v>
      </c>
      <c r="F238" t="s">
        <v>2078</v>
      </c>
      <c r="G238" s="73" t="s">
        <v>984</v>
      </c>
      <c r="H238" t="s">
        <v>2087</v>
      </c>
      <c r="I238" s="73" t="s">
        <v>448</v>
      </c>
      <c r="J238" s="73" t="s">
        <v>78</v>
      </c>
      <c r="K238"/>
      <c r="L238" t="s">
        <v>2116</v>
      </c>
      <c r="M238"/>
      <c r="N238" s="88" t="s">
        <v>2079</v>
      </c>
      <c r="O238" s="72"/>
      <c r="P238" s="72"/>
      <c r="Q238" s="72"/>
      <c r="R238" s="72"/>
    </row>
    <row r="239" spans="1:18" x14ac:dyDescent="0.25">
      <c r="A239" s="84" t="s">
        <v>912</v>
      </c>
      <c r="B239" t="s">
        <v>1298</v>
      </c>
      <c r="C239" s="67" t="s">
        <v>3</v>
      </c>
      <c r="D239" s="67" t="s">
        <v>362</v>
      </c>
      <c r="E239" s="73" t="s">
        <v>514</v>
      </c>
      <c r="F239" t="s">
        <v>2078</v>
      </c>
      <c r="G239" s="73" t="s">
        <v>985</v>
      </c>
      <c r="H239" t="s">
        <v>2120</v>
      </c>
      <c r="I239" s="73" t="s">
        <v>448</v>
      </c>
      <c r="J239" s="73" t="s">
        <v>78</v>
      </c>
      <c r="K239"/>
      <c r="L239" t="s">
        <v>2116</v>
      </c>
      <c r="M239"/>
      <c r="N239" s="88" t="s">
        <v>2079</v>
      </c>
      <c r="O239" s="72"/>
      <c r="P239" s="72"/>
      <c r="Q239" s="72"/>
      <c r="R239" s="72"/>
    </row>
    <row r="240" spans="1:18" x14ac:dyDescent="0.25">
      <c r="A240" s="84" t="s">
        <v>913</v>
      </c>
      <c r="B240" t="s">
        <v>1298</v>
      </c>
      <c r="C240" s="67" t="s">
        <v>3</v>
      </c>
      <c r="D240" s="67" t="s">
        <v>362</v>
      </c>
      <c r="E240" s="73" t="s">
        <v>377</v>
      </c>
      <c r="F240" t="s">
        <v>2122</v>
      </c>
      <c r="G240" s="73" t="s">
        <v>377</v>
      </c>
      <c r="H240" t="s">
        <v>2122</v>
      </c>
      <c r="I240" s="73" t="s">
        <v>383</v>
      </c>
      <c r="J240" s="73" t="s">
        <v>78</v>
      </c>
      <c r="K240"/>
      <c r="L240" t="s">
        <v>2122</v>
      </c>
      <c r="M240"/>
      <c r="N240" s="88" t="s">
        <v>2033</v>
      </c>
      <c r="O240" s="72"/>
      <c r="P240" s="72"/>
      <c r="Q240" s="72"/>
      <c r="R240" s="72"/>
    </row>
    <row r="241" spans="1:18" x14ac:dyDescent="0.25">
      <c r="A241" s="84" t="s">
        <v>913</v>
      </c>
      <c r="B241" t="s">
        <v>1298</v>
      </c>
      <c r="C241" s="67" t="s">
        <v>3</v>
      </c>
      <c r="D241" s="67" t="s">
        <v>362</v>
      </c>
      <c r="E241" s="73" t="s">
        <v>998</v>
      </c>
      <c r="F241" t="s">
        <v>650</v>
      </c>
      <c r="G241" s="73" t="s">
        <v>998</v>
      </c>
      <c r="H241" t="s">
        <v>650</v>
      </c>
      <c r="I241" s="73" t="s">
        <v>383</v>
      </c>
      <c r="J241" s="73" t="s">
        <v>78</v>
      </c>
      <c r="K241"/>
      <c r="L241" t="s">
        <v>2122</v>
      </c>
      <c r="M241"/>
      <c r="N241" s="88" t="s">
        <v>2033</v>
      </c>
      <c r="O241" s="72"/>
      <c r="P241" s="72"/>
      <c r="Q241" s="72"/>
      <c r="R241" s="72"/>
    </row>
    <row r="242" spans="1:18" x14ac:dyDescent="0.25">
      <c r="A242" s="84" t="s">
        <v>913</v>
      </c>
      <c r="B242" t="s">
        <v>1298</v>
      </c>
      <c r="C242" s="67" t="s">
        <v>3</v>
      </c>
      <c r="D242" s="67" t="s">
        <v>362</v>
      </c>
      <c r="E242" s="73" t="s">
        <v>999</v>
      </c>
      <c r="F242" t="s">
        <v>651</v>
      </c>
      <c r="G242" s="73" t="s">
        <v>999</v>
      </c>
      <c r="H242" t="s">
        <v>651</v>
      </c>
      <c r="I242" s="73" t="s">
        <v>383</v>
      </c>
      <c r="J242" s="73" t="s">
        <v>78</v>
      </c>
      <c r="K242"/>
      <c r="L242" t="s">
        <v>2122</v>
      </c>
      <c r="M242"/>
      <c r="N242" s="88" t="s">
        <v>2033</v>
      </c>
      <c r="O242" s="72"/>
      <c r="P242" s="72"/>
      <c r="Q242" s="72"/>
      <c r="R242" s="72"/>
    </row>
    <row r="243" spans="1:18" x14ac:dyDescent="0.25">
      <c r="A243" s="84" t="s">
        <v>913</v>
      </c>
      <c r="B243" t="s">
        <v>1298</v>
      </c>
      <c r="C243" s="67" t="s">
        <v>3</v>
      </c>
      <c r="D243" s="67" t="s">
        <v>362</v>
      </c>
      <c r="E243" s="73" t="s">
        <v>1000</v>
      </c>
      <c r="F243" t="s">
        <v>652</v>
      </c>
      <c r="G243" s="73" t="s">
        <v>1000</v>
      </c>
      <c r="H243" t="s">
        <v>1335</v>
      </c>
      <c r="I243" s="73" t="s">
        <v>461</v>
      </c>
      <c r="J243" s="73" t="s">
        <v>78</v>
      </c>
      <c r="K243"/>
      <c r="L243" t="s">
        <v>2122</v>
      </c>
      <c r="M243"/>
      <c r="N243" s="88" t="s">
        <v>2033</v>
      </c>
      <c r="O243" s="72"/>
      <c r="P243" s="72"/>
      <c r="Q243" s="72"/>
      <c r="R243" s="72"/>
    </row>
    <row r="244" spans="1:18" x14ac:dyDescent="0.25">
      <c r="A244" s="84" t="s">
        <v>913</v>
      </c>
      <c r="B244" t="s">
        <v>1298</v>
      </c>
      <c r="C244" s="67" t="s">
        <v>3</v>
      </c>
      <c r="D244" s="67" t="s">
        <v>362</v>
      </c>
      <c r="E244" s="73" t="s">
        <v>1001</v>
      </c>
      <c r="F244" t="s">
        <v>653</v>
      </c>
      <c r="G244" s="73" t="s">
        <v>1001</v>
      </c>
      <c r="H244" t="s">
        <v>653</v>
      </c>
      <c r="I244" s="73" t="s">
        <v>383</v>
      </c>
      <c r="J244" s="73" t="s">
        <v>78</v>
      </c>
      <c r="K244"/>
      <c r="L244" t="s">
        <v>2122</v>
      </c>
      <c r="M244"/>
      <c r="N244" s="88" t="s">
        <v>2033</v>
      </c>
      <c r="O244" s="72"/>
      <c r="P244" s="72"/>
      <c r="Q244" s="72"/>
      <c r="R244" s="72"/>
    </row>
    <row r="245" spans="1:18" x14ac:dyDescent="0.25">
      <c r="A245" s="84" t="s">
        <v>913</v>
      </c>
      <c r="B245" t="s">
        <v>1298</v>
      </c>
      <c r="C245" s="67" t="s">
        <v>3</v>
      </c>
      <c r="D245" s="67" t="s">
        <v>362</v>
      </c>
      <c r="E245" s="73" t="s">
        <v>512</v>
      </c>
      <c r="F245" t="s">
        <v>2078</v>
      </c>
      <c r="G245" s="73" t="s">
        <v>1002</v>
      </c>
      <c r="H245" t="s">
        <v>2087</v>
      </c>
      <c r="I245" s="73" t="s">
        <v>448</v>
      </c>
      <c r="J245" s="73" t="s">
        <v>78</v>
      </c>
      <c r="K245"/>
      <c r="L245" t="s">
        <v>2122</v>
      </c>
      <c r="M245"/>
      <c r="N245" s="88" t="s">
        <v>2033</v>
      </c>
      <c r="O245" s="72"/>
      <c r="P245" s="72"/>
      <c r="Q245" s="72"/>
      <c r="R245" s="72"/>
    </row>
    <row r="246" spans="1:18" x14ac:dyDescent="0.25">
      <c r="A246" s="84" t="s">
        <v>913</v>
      </c>
      <c r="B246" t="s">
        <v>1298</v>
      </c>
      <c r="C246" s="67" t="s">
        <v>3</v>
      </c>
      <c r="D246" s="67" t="s">
        <v>362</v>
      </c>
      <c r="E246" s="73" t="s">
        <v>514</v>
      </c>
      <c r="F246" t="s">
        <v>2078</v>
      </c>
      <c r="G246" s="73" t="s">
        <v>1003</v>
      </c>
      <c r="H246" t="s">
        <v>2123</v>
      </c>
      <c r="I246" s="73" t="s">
        <v>448</v>
      </c>
      <c r="J246" s="73" t="s">
        <v>78</v>
      </c>
      <c r="K246"/>
      <c r="L246" t="s">
        <v>2122</v>
      </c>
      <c r="M246"/>
      <c r="N246" s="88" t="s">
        <v>2033</v>
      </c>
      <c r="O246" s="72"/>
      <c r="P246" s="72"/>
      <c r="Q246" s="72"/>
      <c r="R246" s="72"/>
    </row>
    <row r="247" spans="1:18" x14ac:dyDescent="0.25">
      <c r="A247" s="34" t="s">
        <v>872</v>
      </c>
      <c r="B247" t="s">
        <v>1312</v>
      </c>
      <c r="C247" s="14" t="s">
        <v>3</v>
      </c>
      <c r="D247" s="14" t="s">
        <v>362</v>
      </c>
      <c r="E247" s="2" t="s">
        <v>377</v>
      </c>
      <c r="F247" t="s">
        <v>2125</v>
      </c>
      <c r="G247" s="2" t="s">
        <v>377</v>
      </c>
      <c r="H247" t="s">
        <v>2125</v>
      </c>
      <c r="I247" s="2" t="s">
        <v>383</v>
      </c>
      <c r="J247" s="2" t="s">
        <v>78</v>
      </c>
      <c r="K247"/>
      <c r="L247" t="s">
        <v>2125</v>
      </c>
      <c r="M247"/>
      <c r="N247" s="65" t="s">
        <v>2036</v>
      </c>
    </row>
    <row r="248" spans="1:18" x14ac:dyDescent="0.25">
      <c r="A248" s="34" t="s">
        <v>872</v>
      </c>
      <c r="B248" t="s">
        <v>1312</v>
      </c>
      <c r="C248" s="14" t="s">
        <v>3</v>
      </c>
      <c r="D248" s="14" t="s">
        <v>362</v>
      </c>
      <c r="E248" s="2" t="s">
        <v>686</v>
      </c>
      <c r="F248" t="s">
        <v>781</v>
      </c>
      <c r="G248" s="2" t="s">
        <v>906</v>
      </c>
      <c r="H248" t="s">
        <v>781</v>
      </c>
      <c r="I248" s="2" t="s">
        <v>383</v>
      </c>
      <c r="J248" s="2" t="s">
        <v>78</v>
      </c>
      <c r="K248"/>
      <c r="L248" t="s">
        <v>2125</v>
      </c>
      <c r="M248"/>
      <c r="N248" s="65" t="s">
        <v>2036</v>
      </c>
    </row>
    <row r="249" spans="1:18" x14ac:dyDescent="0.25">
      <c r="A249" s="34" t="s">
        <v>872</v>
      </c>
      <c r="B249" t="s">
        <v>1312</v>
      </c>
      <c r="C249" s="14" t="s">
        <v>3</v>
      </c>
      <c r="D249" s="14" t="s">
        <v>362</v>
      </c>
      <c r="E249" s="2" t="s">
        <v>687</v>
      </c>
      <c r="F249" t="s">
        <v>782</v>
      </c>
      <c r="G249" s="2" t="s">
        <v>907</v>
      </c>
      <c r="H249" t="s">
        <v>782</v>
      </c>
      <c r="I249" s="2" t="s">
        <v>383</v>
      </c>
      <c r="J249" s="2" t="s">
        <v>78</v>
      </c>
      <c r="K249"/>
      <c r="L249" t="s">
        <v>2125</v>
      </c>
      <c r="M249"/>
      <c r="N249" s="65" t="s">
        <v>2036</v>
      </c>
    </row>
    <row r="250" spans="1:18" x14ac:dyDescent="0.25">
      <c r="A250" s="34" t="s">
        <v>872</v>
      </c>
      <c r="B250" t="s">
        <v>1312</v>
      </c>
      <c r="C250" s="14" t="s">
        <v>3</v>
      </c>
      <c r="D250" s="14" t="s">
        <v>362</v>
      </c>
      <c r="E250" s="2" t="s">
        <v>689</v>
      </c>
      <c r="F250" t="s">
        <v>783</v>
      </c>
      <c r="G250" s="2" t="s">
        <v>909</v>
      </c>
      <c r="H250" t="s">
        <v>2037</v>
      </c>
      <c r="I250" s="2" t="s">
        <v>461</v>
      </c>
      <c r="J250" s="2" t="s">
        <v>78</v>
      </c>
      <c r="K250"/>
      <c r="L250" t="s">
        <v>2125</v>
      </c>
      <c r="M250"/>
      <c r="N250" s="65" t="s">
        <v>2036</v>
      </c>
    </row>
    <row r="251" spans="1:18" x14ac:dyDescent="0.25">
      <c r="A251" s="34" t="s">
        <v>872</v>
      </c>
      <c r="B251" t="s">
        <v>1312</v>
      </c>
      <c r="C251" s="14" t="s">
        <v>3</v>
      </c>
      <c r="D251" s="14" t="s">
        <v>362</v>
      </c>
      <c r="E251" s="2" t="s">
        <v>690</v>
      </c>
      <c r="F251" t="s">
        <v>784</v>
      </c>
      <c r="G251" s="2" t="s">
        <v>910</v>
      </c>
      <c r="H251" t="s">
        <v>784</v>
      </c>
      <c r="I251" s="2" t="s">
        <v>383</v>
      </c>
      <c r="J251" s="2" t="s">
        <v>78</v>
      </c>
      <c r="K251"/>
      <c r="L251" t="s">
        <v>2125</v>
      </c>
      <c r="M251"/>
      <c r="N251" s="65" t="s">
        <v>2036</v>
      </c>
    </row>
    <row r="252" spans="1:18" x14ac:dyDescent="0.25">
      <c r="A252" s="34" t="s">
        <v>872</v>
      </c>
      <c r="B252" t="s">
        <v>1312</v>
      </c>
      <c r="C252" s="14" t="s">
        <v>3</v>
      </c>
      <c r="D252" s="14" t="s">
        <v>362</v>
      </c>
      <c r="E252" s="2" t="s">
        <v>685</v>
      </c>
      <c r="F252" t="s">
        <v>1330</v>
      </c>
      <c r="G252" s="2" t="s">
        <v>905</v>
      </c>
      <c r="H252" t="s">
        <v>1336</v>
      </c>
      <c r="I252" s="2" t="s">
        <v>461</v>
      </c>
      <c r="J252" s="2" t="s">
        <v>78</v>
      </c>
      <c r="K252"/>
      <c r="L252" t="s">
        <v>2125</v>
      </c>
      <c r="M252"/>
      <c r="N252" s="65" t="s">
        <v>2094</v>
      </c>
    </row>
    <row r="253" spans="1:18" x14ac:dyDescent="0.25">
      <c r="A253" s="34" t="s">
        <v>872</v>
      </c>
      <c r="B253" t="s">
        <v>1312</v>
      </c>
      <c r="C253" s="14" t="s">
        <v>3</v>
      </c>
      <c r="D253" s="14" t="s">
        <v>362</v>
      </c>
      <c r="E253" s="2" t="s">
        <v>688</v>
      </c>
      <c r="F253" t="s">
        <v>2035</v>
      </c>
      <c r="G253" s="2" t="s">
        <v>908</v>
      </c>
      <c r="H253" t="s">
        <v>2035</v>
      </c>
      <c r="I253" s="2" t="s">
        <v>383</v>
      </c>
      <c r="J253" s="2" t="s">
        <v>78</v>
      </c>
      <c r="K253"/>
      <c r="L253" t="s">
        <v>2125</v>
      </c>
      <c r="M253"/>
      <c r="N253" s="65" t="s">
        <v>2095</v>
      </c>
    </row>
    <row r="254" spans="1:18" x14ac:dyDescent="0.25">
      <c r="A254" s="34" t="s">
        <v>872</v>
      </c>
      <c r="B254" t="s">
        <v>1312</v>
      </c>
      <c r="C254" s="14" t="s">
        <v>3</v>
      </c>
      <c r="D254" s="14" t="s">
        <v>362</v>
      </c>
      <c r="E254" s="2" t="s">
        <v>512</v>
      </c>
      <c r="F254" t="s">
        <v>2078</v>
      </c>
      <c r="G254" s="2" t="s">
        <v>512</v>
      </c>
      <c r="H254" t="s">
        <v>2087</v>
      </c>
      <c r="I254" s="2" t="s">
        <v>448</v>
      </c>
      <c r="J254" s="2" t="s">
        <v>78</v>
      </c>
      <c r="K254"/>
      <c r="L254" t="s">
        <v>2125</v>
      </c>
      <c r="M254"/>
      <c r="N254" s="65" t="s">
        <v>2036</v>
      </c>
    </row>
    <row r="255" spans="1:18" x14ac:dyDescent="0.25">
      <c r="A255" s="34" t="s">
        <v>872</v>
      </c>
      <c r="B255" t="s">
        <v>1312</v>
      </c>
      <c r="C255" s="14" t="s">
        <v>3</v>
      </c>
      <c r="D255" s="14" t="s">
        <v>362</v>
      </c>
      <c r="E255" s="2" t="s">
        <v>514</v>
      </c>
      <c r="F255" t="s">
        <v>2078</v>
      </c>
      <c r="G255" s="2" t="s">
        <v>514</v>
      </c>
      <c r="H255" t="s">
        <v>2126</v>
      </c>
      <c r="I255" s="2" t="s">
        <v>448</v>
      </c>
      <c r="J255" s="2" t="s">
        <v>78</v>
      </c>
      <c r="K255"/>
      <c r="L255" t="s">
        <v>2125</v>
      </c>
      <c r="M255"/>
      <c r="N255" s="65" t="s">
        <v>2036</v>
      </c>
    </row>
    <row r="256" spans="1:18" x14ac:dyDescent="0.25">
      <c r="A256" s="34" t="s">
        <v>872</v>
      </c>
      <c r="B256" t="s">
        <v>1312</v>
      </c>
      <c r="C256" s="14" t="s">
        <v>3</v>
      </c>
      <c r="D256" s="14" t="s">
        <v>362</v>
      </c>
      <c r="E256" s="2" t="s">
        <v>903</v>
      </c>
      <c r="F256" t="s">
        <v>670</v>
      </c>
      <c r="G256" s="2" t="s">
        <v>903</v>
      </c>
      <c r="H256" t="s">
        <v>670</v>
      </c>
      <c r="I256" s="2" t="s">
        <v>383</v>
      </c>
      <c r="J256" s="2" t="s">
        <v>78</v>
      </c>
      <c r="K256"/>
      <c r="L256" t="s">
        <v>2125</v>
      </c>
      <c r="M256"/>
      <c r="N256" s="65" t="s">
        <v>2038</v>
      </c>
    </row>
    <row r="257" spans="1:18" x14ac:dyDescent="0.25">
      <c r="A257" s="34" t="s">
        <v>872</v>
      </c>
      <c r="B257" t="s">
        <v>1312</v>
      </c>
      <c r="C257" s="14" t="s">
        <v>3</v>
      </c>
      <c r="D257" s="14" t="s">
        <v>362</v>
      </c>
      <c r="E257" s="2" t="s">
        <v>904</v>
      </c>
      <c r="F257" t="s">
        <v>671</v>
      </c>
      <c r="G257" s="2" t="s">
        <v>904</v>
      </c>
      <c r="H257" t="s">
        <v>671</v>
      </c>
      <c r="I257" s="2" t="s">
        <v>383</v>
      </c>
      <c r="J257" s="2" t="s">
        <v>78</v>
      </c>
      <c r="K257"/>
      <c r="L257" t="s">
        <v>2125</v>
      </c>
      <c r="M257"/>
      <c r="N257" s="65" t="s">
        <v>2039</v>
      </c>
    </row>
    <row r="258" spans="1:18" x14ac:dyDescent="0.25">
      <c r="A258" s="34" t="s">
        <v>872</v>
      </c>
      <c r="B258" t="s">
        <v>1312</v>
      </c>
      <c r="C258" s="14" t="s">
        <v>3</v>
      </c>
      <c r="D258" s="14" t="s">
        <v>362</v>
      </c>
      <c r="E258" s="2" t="s">
        <v>900</v>
      </c>
      <c r="F258" t="s">
        <v>878</v>
      </c>
      <c r="G258" s="2" t="s">
        <v>900</v>
      </c>
      <c r="H258"/>
      <c r="I258" s="2" t="s">
        <v>383</v>
      </c>
      <c r="J258" s="2" t="s">
        <v>78</v>
      </c>
      <c r="K258"/>
      <c r="L258" t="s">
        <v>2125</v>
      </c>
      <c r="M258"/>
      <c r="N258" s="65" t="s">
        <v>2040</v>
      </c>
    </row>
    <row r="259" spans="1:18" x14ac:dyDescent="0.25">
      <c r="A259" s="34" t="s">
        <v>872</v>
      </c>
      <c r="B259" t="s">
        <v>1312</v>
      </c>
      <c r="C259" s="14" t="s">
        <v>3</v>
      </c>
      <c r="D259" s="14" t="s">
        <v>362</v>
      </c>
      <c r="E259" s="2" t="s">
        <v>901</v>
      </c>
      <c r="F259" t="s">
        <v>881</v>
      </c>
      <c r="G259" s="2" t="s">
        <v>901</v>
      </c>
      <c r="H259"/>
      <c r="I259" s="2" t="s">
        <v>726</v>
      </c>
      <c r="J259" s="2" t="s">
        <v>78</v>
      </c>
      <c r="K259"/>
      <c r="L259" t="s">
        <v>2125</v>
      </c>
      <c r="M259"/>
      <c r="N259" s="65" t="s">
        <v>2040</v>
      </c>
    </row>
    <row r="260" spans="1:18" x14ac:dyDescent="0.25">
      <c r="A260" s="34" t="s">
        <v>872</v>
      </c>
      <c r="B260" t="s">
        <v>1312</v>
      </c>
      <c r="C260" s="14" t="s">
        <v>3</v>
      </c>
      <c r="D260" s="14" t="s">
        <v>362</v>
      </c>
      <c r="E260" s="2" t="s">
        <v>902</v>
      </c>
      <c r="F260" t="s">
        <v>891</v>
      </c>
      <c r="G260" s="2" t="s">
        <v>902</v>
      </c>
      <c r="H260" t="s">
        <v>2042</v>
      </c>
      <c r="I260" s="2" t="s">
        <v>726</v>
      </c>
      <c r="J260" s="2" t="s">
        <v>78</v>
      </c>
      <c r="K260"/>
      <c r="L260" t="s">
        <v>2125</v>
      </c>
      <c r="M260"/>
      <c r="N260" s="65" t="s">
        <v>2041</v>
      </c>
    </row>
    <row r="261" spans="1:18" x14ac:dyDescent="0.25">
      <c r="A261" s="34" t="s">
        <v>869</v>
      </c>
      <c r="B261"/>
      <c r="C261" s="14" t="s">
        <v>3</v>
      </c>
      <c r="D261" s="14" t="s">
        <v>362</v>
      </c>
      <c r="E261" s="2" t="s">
        <v>1052</v>
      </c>
      <c r="F261"/>
      <c r="G261" s="2" t="s">
        <v>1052</v>
      </c>
      <c r="H261"/>
      <c r="I261" s="2" t="s">
        <v>383</v>
      </c>
      <c r="J261" s="73" t="s">
        <v>78</v>
      </c>
      <c r="K261"/>
      <c r="L261"/>
      <c r="M261"/>
      <c r="N261" s="65" t="s">
        <v>1067</v>
      </c>
    </row>
    <row r="262" spans="1:18" x14ac:dyDescent="0.25">
      <c r="A262" s="34" t="s">
        <v>869</v>
      </c>
      <c r="B262"/>
      <c r="C262" s="14" t="s">
        <v>3</v>
      </c>
      <c r="D262" s="14" t="s">
        <v>362</v>
      </c>
      <c r="E262" s="2" t="s">
        <v>526</v>
      </c>
      <c r="F262"/>
      <c r="G262" s="2" t="s">
        <v>526</v>
      </c>
      <c r="H262"/>
      <c r="I262" s="2" t="s">
        <v>1044</v>
      </c>
      <c r="J262" s="73" t="s">
        <v>78</v>
      </c>
      <c r="K262"/>
      <c r="L262"/>
      <c r="M262"/>
      <c r="N262" s="65" t="s">
        <v>1067</v>
      </c>
    </row>
    <row r="263" spans="1:18" x14ac:dyDescent="0.25">
      <c r="A263" s="34" t="s">
        <v>869</v>
      </c>
      <c r="B263"/>
      <c r="C263" s="14" t="s">
        <v>3</v>
      </c>
      <c r="D263" s="14" t="s">
        <v>362</v>
      </c>
      <c r="E263" s="2" t="s">
        <v>613</v>
      </c>
      <c r="F263"/>
      <c r="G263" s="2" t="s">
        <v>613</v>
      </c>
      <c r="H263"/>
      <c r="I263" s="2" t="s">
        <v>1044</v>
      </c>
      <c r="J263" s="73" t="s">
        <v>78</v>
      </c>
      <c r="K263"/>
      <c r="L263"/>
      <c r="M263"/>
      <c r="N263" s="65" t="s">
        <v>1067</v>
      </c>
    </row>
    <row r="264" spans="1:18" x14ac:dyDescent="0.25">
      <c r="A264" s="34" t="s">
        <v>869</v>
      </c>
      <c r="B264"/>
      <c r="C264" s="14" t="s">
        <v>3</v>
      </c>
      <c r="D264" s="14" t="s">
        <v>362</v>
      </c>
      <c r="E264" s="2" t="s">
        <v>515</v>
      </c>
      <c r="F264"/>
      <c r="G264" s="2" t="s">
        <v>923</v>
      </c>
      <c r="H264"/>
      <c r="I264" s="2" t="s">
        <v>448</v>
      </c>
      <c r="J264" s="73" t="s">
        <v>78</v>
      </c>
      <c r="K264"/>
      <c r="L264"/>
      <c r="M264"/>
      <c r="N264" s="65" t="s">
        <v>1067</v>
      </c>
    </row>
    <row r="265" spans="1:18" x14ac:dyDescent="0.25">
      <c r="A265" s="34" t="s">
        <v>869</v>
      </c>
      <c r="B265"/>
      <c r="C265" s="14" t="s">
        <v>3</v>
      </c>
      <c r="D265" s="14" t="s">
        <v>362</v>
      </c>
      <c r="E265" s="2" t="s">
        <v>515</v>
      </c>
      <c r="F265"/>
      <c r="G265" s="2" t="s">
        <v>924</v>
      </c>
      <c r="H265"/>
      <c r="I265" s="2" t="s">
        <v>448</v>
      </c>
      <c r="J265" s="73" t="s">
        <v>78</v>
      </c>
      <c r="K265"/>
      <c r="L265"/>
      <c r="M265"/>
      <c r="N265" s="65" t="s">
        <v>1067</v>
      </c>
    </row>
    <row r="266" spans="1:18" x14ac:dyDescent="0.25">
      <c r="A266" s="34" t="s">
        <v>869</v>
      </c>
      <c r="B266"/>
      <c r="C266" s="67" t="s">
        <v>3</v>
      </c>
      <c r="D266" s="67" t="s">
        <v>362</v>
      </c>
      <c r="E266" s="2" t="s">
        <v>1060</v>
      </c>
      <c r="F266"/>
      <c r="G266" s="2" t="s">
        <v>1060</v>
      </c>
      <c r="H266"/>
      <c r="I266" s="2" t="s">
        <v>448</v>
      </c>
      <c r="J266" s="73" t="s">
        <v>78</v>
      </c>
      <c r="K266"/>
      <c r="L266"/>
      <c r="M266"/>
      <c r="N266" s="65" t="s">
        <v>1068</v>
      </c>
    </row>
    <row r="267" spans="1:18" x14ac:dyDescent="0.25">
      <c r="A267" s="34" t="s">
        <v>869</v>
      </c>
      <c r="B267"/>
      <c r="C267" s="67" t="s">
        <v>3</v>
      </c>
      <c r="D267" s="67" t="s">
        <v>362</v>
      </c>
      <c r="E267" s="2" t="s">
        <v>1062</v>
      </c>
      <c r="F267"/>
      <c r="G267" s="2" t="s">
        <v>1062</v>
      </c>
      <c r="H267"/>
      <c r="I267" s="2" t="s">
        <v>448</v>
      </c>
      <c r="J267" s="73" t="s">
        <v>78</v>
      </c>
      <c r="K267"/>
      <c r="L267"/>
      <c r="M267"/>
      <c r="N267" s="65" t="s">
        <v>1068</v>
      </c>
    </row>
    <row r="268" spans="1:18" x14ac:dyDescent="0.25">
      <c r="A268" s="34" t="s">
        <v>869</v>
      </c>
      <c r="B268"/>
      <c r="C268" s="67" t="s">
        <v>3</v>
      </c>
      <c r="D268" s="67" t="s">
        <v>362</v>
      </c>
      <c r="E268" s="2" t="s">
        <v>1054</v>
      </c>
      <c r="F268"/>
      <c r="G268" s="2" t="s">
        <v>1054</v>
      </c>
      <c r="H268"/>
      <c r="I268" s="2" t="s">
        <v>448</v>
      </c>
      <c r="J268" s="73" t="s">
        <v>78</v>
      </c>
      <c r="K268"/>
      <c r="L268"/>
      <c r="M268"/>
      <c r="N268" s="65" t="s">
        <v>1069</v>
      </c>
    </row>
    <row r="269" spans="1:18" x14ac:dyDescent="0.25">
      <c r="A269" s="34" t="s">
        <v>869</v>
      </c>
      <c r="B269"/>
      <c r="C269" s="67" t="s">
        <v>3</v>
      </c>
      <c r="D269" s="67" t="s">
        <v>362</v>
      </c>
      <c r="E269" s="2" t="s">
        <v>1055</v>
      </c>
      <c r="F269"/>
      <c r="G269" s="2" t="s">
        <v>1055</v>
      </c>
      <c r="H269"/>
      <c r="I269" s="2" t="s">
        <v>448</v>
      </c>
      <c r="J269" s="73" t="s">
        <v>78</v>
      </c>
      <c r="K269"/>
      <c r="L269"/>
      <c r="M269"/>
      <c r="N269" s="65" t="s">
        <v>1069</v>
      </c>
    </row>
    <row r="270" spans="1:18" x14ac:dyDescent="0.25">
      <c r="A270" s="84" t="s">
        <v>918</v>
      </c>
      <c r="B270" t="s">
        <v>1298</v>
      </c>
      <c r="C270" s="67" t="s">
        <v>3</v>
      </c>
      <c r="D270" s="67" t="s">
        <v>362</v>
      </c>
      <c r="E270" s="73" t="s">
        <v>377</v>
      </c>
      <c r="F270" t="s">
        <v>2100</v>
      </c>
      <c r="G270" s="73" t="s">
        <v>377</v>
      </c>
      <c r="H270" t="s">
        <v>2100</v>
      </c>
      <c r="I270" s="73" t="s">
        <v>383</v>
      </c>
      <c r="J270" s="73" t="s">
        <v>78</v>
      </c>
      <c r="K270"/>
      <c r="L270" t="s">
        <v>2100</v>
      </c>
      <c r="M270"/>
      <c r="N270" s="88" t="s">
        <v>2043</v>
      </c>
      <c r="O270" s="72"/>
      <c r="P270" s="72"/>
      <c r="Q270" s="72"/>
      <c r="R270" s="72"/>
    </row>
    <row r="271" spans="1:18" x14ac:dyDescent="0.25">
      <c r="A271" s="84" t="s">
        <v>918</v>
      </c>
      <c r="B271" t="s">
        <v>1298</v>
      </c>
      <c r="C271" s="67" t="s">
        <v>3</v>
      </c>
      <c r="D271" s="67" t="s">
        <v>362</v>
      </c>
      <c r="E271" s="73" t="s">
        <v>686</v>
      </c>
      <c r="F271" t="s">
        <v>781</v>
      </c>
      <c r="G271" s="73" t="s">
        <v>929</v>
      </c>
      <c r="H271" t="s">
        <v>781</v>
      </c>
      <c r="I271" s="73" t="s">
        <v>383</v>
      </c>
      <c r="J271" s="73" t="s">
        <v>78</v>
      </c>
      <c r="K271"/>
      <c r="L271" t="s">
        <v>2100</v>
      </c>
      <c r="M271"/>
      <c r="N271" s="88" t="s">
        <v>2043</v>
      </c>
      <c r="O271" s="72"/>
      <c r="P271" s="72"/>
      <c r="Q271" s="72"/>
      <c r="R271" s="72"/>
    </row>
    <row r="272" spans="1:18" x14ac:dyDescent="0.25">
      <c r="A272" s="84" t="s">
        <v>918</v>
      </c>
      <c r="B272" t="s">
        <v>1298</v>
      </c>
      <c r="C272" s="67" t="s">
        <v>3</v>
      </c>
      <c r="D272" s="67" t="s">
        <v>362</v>
      </c>
      <c r="E272" s="73" t="s">
        <v>687</v>
      </c>
      <c r="F272" t="s">
        <v>782</v>
      </c>
      <c r="G272" s="73" t="s">
        <v>930</v>
      </c>
      <c r="H272" t="s">
        <v>782</v>
      </c>
      <c r="I272" s="73" t="s">
        <v>383</v>
      </c>
      <c r="J272" s="73" t="s">
        <v>78</v>
      </c>
      <c r="K272"/>
      <c r="L272" t="s">
        <v>2100</v>
      </c>
      <c r="M272"/>
      <c r="N272" s="88" t="s">
        <v>2043</v>
      </c>
      <c r="O272" s="72"/>
      <c r="P272" s="72"/>
      <c r="Q272" s="72"/>
      <c r="R272" s="72"/>
    </row>
    <row r="273" spans="1:18" x14ac:dyDescent="0.25">
      <c r="A273" s="84" t="s">
        <v>918</v>
      </c>
      <c r="B273" t="s">
        <v>1298</v>
      </c>
      <c r="C273" s="67" t="s">
        <v>3</v>
      </c>
      <c r="D273" s="67" t="s">
        <v>362</v>
      </c>
      <c r="E273" s="73" t="s">
        <v>689</v>
      </c>
      <c r="F273" t="s">
        <v>783</v>
      </c>
      <c r="G273" s="73" t="s">
        <v>932</v>
      </c>
      <c r="H273" t="s">
        <v>2037</v>
      </c>
      <c r="I273" s="73" t="s">
        <v>461</v>
      </c>
      <c r="J273" s="73" t="s">
        <v>78</v>
      </c>
      <c r="K273"/>
      <c r="L273" t="s">
        <v>2100</v>
      </c>
      <c r="M273"/>
      <c r="N273" s="88" t="s">
        <v>2043</v>
      </c>
      <c r="O273" s="72"/>
      <c r="P273" s="72"/>
      <c r="Q273" s="72"/>
      <c r="R273" s="72"/>
    </row>
    <row r="274" spans="1:18" x14ac:dyDescent="0.25">
      <c r="A274" s="84" t="s">
        <v>918</v>
      </c>
      <c r="B274" t="s">
        <v>1298</v>
      </c>
      <c r="C274" s="67" t="s">
        <v>3</v>
      </c>
      <c r="D274" s="67" t="s">
        <v>362</v>
      </c>
      <c r="E274" s="73" t="s">
        <v>690</v>
      </c>
      <c r="F274" t="s">
        <v>784</v>
      </c>
      <c r="G274" s="73" t="s">
        <v>934</v>
      </c>
      <c r="H274" t="s">
        <v>784</v>
      </c>
      <c r="I274" s="73" t="s">
        <v>383</v>
      </c>
      <c r="J274" s="73" t="s">
        <v>78</v>
      </c>
      <c r="K274"/>
      <c r="L274" t="s">
        <v>2100</v>
      </c>
      <c r="M274"/>
      <c r="N274" s="88" t="s">
        <v>2043</v>
      </c>
      <c r="O274" s="72"/>
      <c r="P274" s="72"/>
      <c r="Q274" s="72"/>
      <c r="R274" s="72"/>
    </row>
    <row r="275" spans="1:18" x14ac:dyDescent="0.25">
      <c r="A275" s="84" t="s">
        <v>918</v>
      </c>
      <c r="B275" t="s">
        <v>1298</v>
      </c>
      <c r="C275" s="67" t="s">
        <v>3</v>
      </c>
      <c r="D275" s="67" t="s">
        <v>362</v>
      </c>
      <c r="E275" s="73" t="s">
        <v>685</v>
      </c>
      <c r="F275" t="s">
        <v>1330</v>
      </c>
      <c r="G275" s="73" t="s">
        <v>927</v>
      </c>
      <c r="H275" t="s">
        <v>1336</v>
      </c>
      <c r="I275" s="73" t="s">
        <v>461</v>
      </c>
      <c r="J275" s="73" t="s">
        <v>78</v>
      </c>
      <c r="K275"/>
      <c r="L275" t="s">
        <v>2100</v>
      </c>
      <c r="M275"/>
      <c r="N275" s="88" t="s">
        <v>2080</v>
      </c>
      <c r="O275" s="72"/>
      <c r="P275" s="72"/>
      <c r="Q275" s="72"/>
      <c r="R275" s="72"/>
    </row>
    <row r="276" spans="1:18" x14ac:dyDescent="0.25">
      <c r="A276" s="84" t="s">
        <v>918</v>
      </c>
      <c r="B276" t="s">
        <v>1298</v>
      </c>
      <c r="C276" s="67" t="s">
        <v>3</v>
      </c>
      <c r="D276" s="67" t="s">
        <v>362</v>
      </c>
      <c r="E276" s="73" t="s">
        <v>688</v>
      </c>
      <c r="F276" t="s">
        <v>2035</v>
      </c>
      <c r="G276" s="73" t="s">
        <v>928</v>
      </c>
      <c r="H276" t="s">
        <v>2035</v>
      </c>
      <c r="I276" s="73" t="s">
        <v>383</v>
      </c>
      <c r="J276" s="73" t="s">
        <v>78</v>
      </c>
      <c r="K276"/>
      <c r="L276" t="s">
        <v>2100</v>
      </c>
      <c r="M276"/>
      <c r="N276" s="88" t="s">
        <v>2081</v>
      </c>
      <c r="O276" s="72"/>
      <c r="P276" s="72"/>
      <c r="Q276" s="72"/>
      <c r="R276" s="72"/>
    </row>
    <row r="277" spans="1:18" x14ac:dyDescent="0.25">
      <c r="A277" s="84" t="s">
        <v>918</v>
      </c>
      <c r="B277" t="s">
        <v>1298</v>
      </c>
      <c r="C277" s="67" t="s">
        <v>3</v>
      </c>
      <c r="D277" s="67" t="s">
        <v>362</v>
      </c>
      <c r="E277" s="73" t="s">
        <v>512</v>
      </c>
      <c r="F277" t="s">
        <v>2078</v>
      </c>
      <c r="G277" s="73" t="s">
        <v>513</v>
      </c>
      <c r="H277" t="s">
        <v>2087</v>
      </c>
      <c r="I277" s="73" t="s">
        <v>448</v>
      </c>
      <c r="J277" s="73" t="s">
        <v>78</v>
      </c>
      <c r="K277"/>
      <c r="L277" t="s">
        <v>2100</v>
      </c>
      <c r="M277"/>
      <c r="N277" s="88" t="s">
        <v>2082</v>
      </c>
      <c r="O277" s="72"/>
      <c r="P277" s="72"/>
      <c r="Q277" s="72"/>
      <c r="R277" s="72"/>
    </row>
    <row r="278" spans="1:18" x14ac:dyDescent="0.25">
      <c r="A278" s="84" t="s">
        <v>918</v>
      </c>
      <c r="B278" t="s">
        <v>1298</v>
      </c>
      <c r="C278" s="67" t="s">
        <v>3</v>
      </c>
      <c r="D278" s="67" t="s">
        <v>362</v>
      </c>
      <c r="E278" s="73" t="s">
        <v>514</v>
      </c>
      <c r="F278" t="s">
        <v>2078</v>
      </c>
      <c r="G278" s="73" t="s">
        <v>515</v>
      </c>
      <c r="H278" t="s">
        <v>2101</v>
      </c>
      <c r="I278" s="73" t="s">
        <v>448</v>
      </c>
      <c r="J278" s="73" t="s">
        <v>78</v>
      </c>
      <c r="K278"/>
      <c r="L278" t="s">
        <v>2100</v>
      </c>
      <c r="M278"/>
      <c r="N278" s="88" t="s">
        <v>2082</v>
      </c>
      <c r="O278" s="72"/>
      <c r="P278" s="72"/>
      <c r="Q278" s="72"/>
      <c r="R278" s="72"/>
    </row>
    <row r="279" spans="1:18" x14ac:dyDescent="0.25">
      <c r="A279" s="84" t="s">
        <v>918</v>
      </c>
      <c r="B279" t="s">
        <v>1298</v>
      </c>
      <c r="C279" s="67" t="s">
        <v>3</v>
      </c>
      <c r="D279" s="67" t="s">
        <v>362</v>
      </c>
      <c r="E279" s="73" t="s">
        <v>1081</v>
      </c>
      <c r="F279" t="s">
        <v>2049</v>
      </c>
      <c r="G279" s="73" t="s">
        <v>981</v>
      </c>
      <c r="H279" t="s">
        <v>2049</v>
      </c>
      <c r="I279" s="73" t="s">
        <v>383</v>
      </c>
      <c r="J279" s="73" t="s">
        <v>78</v>
      </c>
      <c r="K279"/>
      <c r="L279" t="s">
        <v>2100</v>
      </c>
      <c r="M279"/>
      <c r="N279" s="88" t="s">
        <v>2083</v>
      </c>
      <c r="O279" s="72"/>
      <c r="P279" s="72"/>
      <c r="Q279" s="72"/>
      <c r="R279" s="72"/>
    </row>
    <row r="280" spans="1:18" x14ac:dyDescent="0.25">
      <c r="A280" s="84" t="s">
        <v>918</v>
      </c>
      <c r="B280" t="s">
        <v>1298</v>
      </c>
      <c r="C280" s="67" t="s">
        <v>3</v>
      </c>
      <c r="D280" s="67" t="s">
        <v>362</v>
      </c>
      <c r="E280" s="73" t="s">
        <v>1082</v>
      </c>
      <c r="F280" t="s">
        <v>2050</v>
      </c>
      <c r="G280" s="73" t="s">
        <v>982</v>
      </c>
      <c r="H280" t="s">
        <v>2050</v>
      </c>
      <c r="I280" s="73" t="s">
        <v>383</v>
      </c>
      <c r="J280" s="73" t="s">
        <v>78</v>
      </c>
      <c r="K280"/>
      <c r="L280" t="s">
        <v>2100</v>
      </c>
      <c r="M280"/>
      <c r="N280" s="88" t="s">
        <v>2084</v>
      </c>
      <c r="O280" s="72"/>
      <c r="P280" s="72"/>
      <c r="Q280" s="72"/>
      <c r="R280" s="72"/>
    </row>
    <row r="281" spans="1:18" x14ac:dyDescent="0.25">
      <c r="A281" s="84" t="s">
        <v>918</v>
      </c>
      <c r="B281" t="s">
        <v>1298</v>
      </c>
      <c r="C281" s="67" t="s">
        <v>3</v>
      </c>
      <c r="D281" s="67" t="s">
        <v>362</v>
      </c>
      <c r="E281" s="73" t="s">
        <v>1079</v>
      </c>
      <c r="F281" t="s">
        <v>668</v>
      </c>
      <c r="G281" s="73" t="s">
        <v>925</v>
      </c>
      <c r="H281" t="s">
        <v>1337</v>
      </c>
      <c r="I281" s="73" t="s">
        <v>726</v>
      </c>
      <c r="J281" s="73" t="s">
        <v>78</v>
      </c>
      <c r="K281"/>
      <c r="L281" t="s">
        <v>2100</v>
      </c>
      <c r="M281"/>
      <c r="N281" s="88" t="s">
        <v>2085</v>
      </c>
      <c r="O281" s="72"/>
      <c r="P281" s="72"/>
      <c r="Q281" s="72"/>
      <c r="R281" s="72"/>
    </row>
    <row r="282" spans="1:18" x14ac:dyDescent="0.25">
      <c r="A282" s="84" t="s">
        <v>918</v>
      </c>
      <c r="B282" t="s">
        <v>1298</v>
      </c>
      <c r="C282" s="67" t="s">
        <v>3</v>
      </c>
      <c r="D282" s="67" t="s">
        <v>362</v>
      </c>
      <c r="E282" s="73" t="s">
        <v>1080</v>
      </c>
      <c r="F282" t="s">
        <v>2058</v>
      </c>
      <c r="G282" s="73" t="s">
        <v>926</v>
      </c>
      <c r="H282" t="s">
        <v>2102</v>
      </c>
      <c r="I282" s="73" t="s">
        <v>726</v>
      </c>
      <c r="J282" s="73" t="s">
        <v>78</v>
      </c>
      <c r="K282"/>
      <c r="L282" t="s">
        <v>2100</v>
      </c>
      <c r="M282"/>
      <c r="N282" s="88" t="s">
        <v>2086</v>
      </c>
      <c r="O282" s="72"/>
      <c r="P282" s="72"/>
      <c r="Q282" s="72"/>
      <c r="R282" s="72"/>
    </row>
    <row r="283" spans="1:18" x14ac:dyDescent="0.25">
      <c r="A283" s="84" t="s">
        <v>918</v>
      </c>
      <c r="B283" t="s">
        <v>1298</v>
      </c>
      <c r="C283" s="67" t="s">
        <v>3</v>
      </c>
      <c r="D283" s="67" t="s">
        <v>362</v>
      </c>
      <c r="E283" s="73" t="s">
        <v>377</v>
      </c>
      <c r="F283" t="s">
        <v>2100</v>
      </c>
      <c r="G283" s="73" t="s">
        <v>983</v>
      </c>
      <c r="H283" t="s">
        <v>2100</v>
      </c>
      <c r="I283" s="73" t="s">
        <v>383</v>
      </c>
      <c r="J283" s="73" t="s">
        <v>78</v>
      </c>
      <c r="K283"/>
      <c r="L283" t="s">
        <v>2100</v>
      </c>
      <c r="M283"/>
      <c r="N283" s="88" t="s">
        <v>2079</v>
      </c>
      <c r="O283" s="72"/>
      <c r="P283" s="72"/>
      <c r="Q283" s="72"/>
      <c r="R283" s="72"/>
    </row>
    <row r="284" spans="1:18" x14ac:dyDescent="0.25">
      <c r="A284" s="84" t="s">
        <v>918</v>
      </c>
      <c r="B284" t="s">
        <v>1298</v>
      </c>
      <c r="C284" s="67" t="s">
        <v>3</v>
      </c>
      <c r="D284" s="67" t="s">
        <v>362</v>
      </c>
      <c r="E284" s="73" t="s">
        <v>686</v>
      </c>
      <c r="F284" t="s">
        <v>781</v>
      </c>
      <c r="G284" s="73" t="s">
        <v>935</v>
      </c>
      <c r="H284" t="s">
        <v>781</v>
      </c>
      <c r="I284" s="73" t="s">
        <v>383</v>
      </c>
      <c r="J284" s="73" t="s">
        <v>78</v>
      </c>
      <c r="K284"/>
      <c r="L284" t="s">
        <v>2100</v>
      </c>
      <c r="M284"/>
      <c r="N284" s="88" t="s">
        <v>2079</v>
      </c>
      <c r="O284" s="72"/>
      <c r="P284" s="72"/>
      <c r="Q284" s="72"/>
      <c r="R284" s="72"/>
    </row>
    <row r="285" spans="1:18" x14ac:dyDescent="0.25">
      <c r="A285" s="84" t="s">
        <v>918</v>
      </c>
      <c r="B285" t="s">
        <v>1298</v>
      </c>
      <c r="C285" s="67" t="s">
        <v>3</v>
      </c>
      <c r="D285" s="67" t="s">
        <v>362</v>
      </c>
      <c r="E285" s="73" t="s">
        <v>687</v>
      </c>
      <c r="F285" t="s">
        <v>782</v>
      </c>
      <c r="G285" s="73" t="s">
        <v>936</v>
      </c>
      <c r="H285" t="s">
        <v>782</v>
      </c>
      <c r="I285" s="73" t="s">
        <v>383</v>
      </c>
      <c r="J285" s="73" t="s">
        <v>78</v>
      </c>
      <c r="K285"/>
      <c r="L285" t="s">
        <v>2100</v>
      </c>
      <c r="M285"/>
      <c r="N285" s="88" t="s">
        <v>2079</v>
      </c>
      <c r="O285" s="72"/>
      <c r="P285" s="72"/>
      <c r="Q285" s="72"/>
      <c r="R285" s="72"/>
    </row>
    <row r="286" spans="1:18" x14ac:dyDescent="0.25">
      <c r="A286" s="84" t="s">
        <v>918</v>
      </c>
      <c r="B286" t="s">
        <v>1298</v>
      </c>
      <c r="C286" s="67" t="s">
        <v>3</v>
      </c>
      <c r="D286" s="67" t="s">
        <v>362</v>
      </c>
      <c r="E286" s="73" t="s">
        <v>689</v>
      </c>
      <c r="F286" t="s">
        <v>783</v>
      </c>
      <c r="G286" s="73" t="s">
        <v>937</v>
      </c>
      <c r="H286" t="s">
        <v>2037</v>
      </c>
      <c r="I286" s="73" t="s">
        <v>461</v>
      </c>
      <c r="J286" s="73" t="s">
        <v>78</v>
      </c>
      <c r="K286"/>
      <c r="L286" t="s">
        <v>2100</v>
      </c>
      <c r="M286"/>
      <c r="N286" s="88" t="s">
        <v>2079</v>
      </c>
      <c r="O286" s="72"/>
      <c r="P286" s="72"/>
      <c r="Q286" s="72"/>
      <c r="R286" s="72"/>
    </row>
    <row r="287" spans="1:18" x14ac:dyDescent="0.25">
      <c r="A287" s="84" t="s">
        <v>918</v>
      </c>
      <c r="B287" t="s">
        <v>1298</v>
      </c>
      <c r="C287" s="67" t="s">
        <v>3</v>
      </c>
      <c r="D287" s="67" t="s">
        <v>362</v>
      </c>
      <c r="E287" s="73" t="s">
        <v>690</v>
      </c>
      <c r="F287" t="s">
        <v>784</v>
      </c>
      <c r="G287" s="73" t="s">
        <v>938</v>
      </c>
      <c r="H287" t="s">
        <v>784</v>
      </c>
      <c r="I287" s="73" t="s">
        <v>383</v>
      </c>
      <c r="J287" s="73" t="s">
        <v>78</v>
      </c>
      <c r="K287"/>
      <c r="L287" t="s">
        <v>2100</v>
      </c>
      <c r="M287"/>
      <c r="N287" s="88" t="s">
        <v>2079</v>
      </c>
      <c r="O287" s="72"/>
      <c r="P287" s="72"/>
      <c r="Q287" s="72"/>
      <c r="R287" s="72"/>
    </row>
    <row r="288" spans="1:18" x14ac:dyDescent="0.25">
      <c r="A288" s="84" t="s">
        <v>918</v>
      </c>
      <c r="B288" t="s">
        <v>1298</v>
      </c>
      <c r="C288" s="67" t="s">
        <v>3</v>
      </c>
      <c r="D288" s="67" t="s">
        <v>362</v>
      </c>
      <c r="E288" s="73" t="s">
        <v>512</v>
      </c>
      <c r="F288" t="s">
        <v>2078</v>
      </c>
      <c r="G288" s="73" t="s">
        <v>984</v>
      </c>
      <c r="H288" t="s">
        <v>2087</v>
      </c>
      <c r="I288" s="73" t="s">
        <v>448</v>
      </c>
      <c r="J288" s="73" t="s">
        <v>78</v>
      </c>
      <c r="K288"/>
      <c r="L288" t="s">
        <v>2100</v>
      </c>
      <c r="M288"/>
      <c r="N288" s="88" t="s">
        <v>2079</v>
      </c>
      <c r="O288" s="72"/>
      <c r="P288" s="72"/>
      <c r="Q288" s="72"/>
      <c r="R288" s="72"/>
    </row>
    <row r="289" spans="1:18" x14ac:dyDescent="0.25">
      <c r="A289" s="84" t="s">
        <v>918</v>
      </c>
      <c r="B289" t="s">
        <v>1298</v>
      </c>
      <c r="C289" s="67" t="s">
        <v>3</v>
      </c>
      <c r="D289" s="67" t="s">
        <v>362</v>
      </c>
      <c r="E289" s="73" t="s">
        <v>514</v>
      </c>
      <c r="F289" t="s">
        <v>2078</v>
      </c>
      <c r="G289" s="73" t="s">
        <v>985</v>
      </c>
      <c r="H289" t="s">
        <v>2101</v>
      </c>
      <c r="I289" s="73" t="s">
        <v>448</v>
      </c>
      <c r="J289" s="73" t="s">
        <v>78</v>
      </c>
      <c r="K289"/>
      <c r="L289" t="s">
        <v>2100</v>
      </c>
      <c r="M289"/>
      <c r="N289" s="88" t="s">
        <v>2079</v>
      </c>
      <c r="O289" s="72"/>
      <c r="P289" s="72"/>
      <c r="Q289" s="72"/>
      <c r="R289" s="72"/>
    </row>
    <row r="290" spans="1:18" x14ac:dyDescent="0.25">
      <c r="A290" s="84" t="s">
        <v>918</v>
      </c>
      <c r="B290" t="s">
        <v>1298</v>
      </c>
      <c r="C290" s="14" t="s">
        <v>3</v>
      </c>
      <c r="D290" s="14" t="s">
        <v>362</v>
      </c>
      <c r="E290" s="2" t="s">
        <v>377</v>
      </c>
      <c r="F290" t="s">
        <v>2100</v>
      </c>
      <c r="G290" s="2" t="s">
        <v>377</v>
      </c>
      <c r="H290" t="s">
        <v>2100</v>
      </c>
      <c r="I290" s="2" t="s">
        <v>383</v>
      </c>
      <c r="J290" s="2" t="s">
        <v>78</v>
      </c>
      <c r="K290"/>
      <c r="L290" t="s">
        <v>2100</v>
      </c>
      <c r="M290"/>
      <c r="N290" s="65" t="s">
        <v>2036</v>
      </c>
    </row>
    <row r="291" spans="1:18" x14ac:dyDescent="0.25">
      <c r="A291" s="84" t="s">
        <v>918</v>
      </c>
      <c r="B291" t="s">
        <v>1298</v>
      </c>
      <c r="C291" s="14" t="s">
        <v>3</v>
      </c>
      <c r="D291" s="14" t="s">
        <v>362</v>
      </c>
      <c r="E291" s="2" t="s">
        <v>686</v>
      </c>
      <c r="F291" t="s">
        <v>781</v>
      </c>
      <c r="G291" s="2" t="s">
        <v>906</v>
      </c>
      <c r="H291" t="s">
        <v>781</v>
      </c>
      <c r="I291" s="2" t="s">
        <v>383</v>
      </c>
      <c r="J291" s="2" t="s">
        <v>78</v>
      </c>
      <c r="K291"/>
      <c r="L291" t="s">
        <v>2100</v>
      </c>
      <c r="M291"/>
      <c r="N291" s="65" t="s">
        <v>2036</v>
      </c>
    </row>
    <row r="292" spans="1:18" x14ac:dyDescent="0.25">
      <c r="A292" s="84" t="s">
        <v>918</v>
      </c>
      <c r="B292" t="s">
        <v>1298</v>
      </c>
      <c r="C292" s="14" t="s">
        <v>3</v>
      </c>
      <c r="D292" s="14" t="s">
        <v>362</v>
      </c>
      <c r="E292" s="2" t="s">
        <v>687</v>
      </c>
      <c r="F292" t="s">
        <v>782</v>
      </c>
      <c r="G292" s="2" t="s">
        <v>907</v>
      </c>
      <c r="H292" t="s">
        <v>782</v>
      </c>
      <c r="I292" s="2" t="s">
        <v>383</v>
      </c>
      <c r="J292" s="2" t="s">
        <v>78</v>
      </c>
      <c r="K292"/>
      <c r="L292" t="s">
        <v>2100</v>
      </c>
      <c r="M292"/>
      <c r="N292" s="65" t="s">
        <v>2036</v>
      </c>
    </row>
    <row r="293" spans="1:18" x14ac:dyDescent="0.25">
      <c r="A293" s="84" t="s">
        <v>918</v>
      </c>
      <c r="B293" t="s">
        <v>1298</v>
      </c>
      <c r="C293" s="14" t="s">
        <v>3</v>
      </c>
      <c r="D293" s="14" t="s">
        <v>362</v>
      </c>
      <c r="E293" s="2" t="s">
        <v>689</v>
      </c>
      <c r="F293" t="s">
        <v>783</v>
      </c>
      <c r="G293" s="2" t="s">
        <v>909</v>
      </c>
      <c r="H293" t="s">
        <v>2037</v>
      </c>
      <c r="I293" s="2" t="s">
        <v>461</v>
      </c>
      <c r="J293" s="2" t="s">
        <v>78</v>
      </c>
      <c r="K293"/>
      <c r="L293" t="s">
        <v>2100</v>
      </c>
      <c r="M293"/>
      <c r="N293" s="65" t="s">
        <v>2036</v>
      </c>
    </row>
    <row r="294" spans="1:18" x14ac:dyDescent="0.25">
      <c r="A294" s="84" t="s">
        <v>918</v>
      </c>
      <c r="B294" t="s">
        <v>1298</v>
      </c>
      <c r="C294" s="14" t="s">
        <v>3</v>
      </c>
      <c r="D294" s="14" t="s">
        <v>362</v>
      </c>
      <c r="E294" s="2" t="s">
        <v>690</v>
      </c>
      <c r="F294" t="s">
        <v>784</v>
      </c>
      <c r="G294" s="2" t="s">
        <v>910</v>
      </c>
      <c r="H294" t="s">
        <v>784</v>
      </c>
      <c r="I294" s="2" t="s">
        <v>383</v>
      </c>
      <c r="J294" s="2" t="s">
        <v>78</v>
      </c>
      <c r="K294"/>
      <c r="L294" t="s">
        <v>2100</v>
      </c>
      <c r="M294"/>
      <c r="N294" s="65" t="s">
        <v>2036</v>
      </c>
    </row>
    <row r="295" spans="1:18" x14ac:dyDescent="0.25">
      <c r="A295" s="84" t="s">
        <v>918</v>
      </c>
      <c r="B295" t="s">
        <v>1298</v>
      </c>
      <c r="C295" s="14" t="s">
        <v>3</v>
      </c>
      <c r="D295" s="14" t="s">
        <v>362</v>
      </c>
      <c r="E295" s="2" t="s">
        <v>685</v>
      </c>
      <c r="F295" t="s">
        <v>1330</v>
      </c>
      <c r="G295" s="2" t="s">
        <v>905</v>
      </c>
      <c r="H295" t="s">
        <v>1336</v>
      </c>
      <c r="I295" s="2" t="s">
        <v>461</v>
      </c>
      <c r="J295" s="2" t="s">
        <v>78</v>
      </c>
      <c r="K295"/>
      <c r="L295" t="s">
        <v>2100</v>
      </c>
      <c r="M295"/>
      <c r="N295" s="65" t="s">
        <v>2094</v>
      </c>
    </row>
    <row r="296" spans="1:18" x14ac:dyDescent="0.25">
      <c r="A296" s="84" t="s">
        <v>918</v>
      </c>
      <c r="B296" t="s">
        <v>1298</v>
      </c>
      <c r="C296" s="14" t="s">
        <v>3</v>
      </c>
      <c r="D296" s="14" t="s">
        <v>362</v>
      </c>
      <c r="E296" s="2" t="s">
        <v>688</v>
      </c>
      <c r="F296" t="s">
        <v>2035</v>
      </c>
      <c r="G296" s="2" t="s">
        <v>908</v>
      </c>
      <c r="H296" t="s">
        <v>2035</v>
      </c>
      <c r="I296" s="2" t="s">
        <v>383</v>
      </c>
      <c r="J296" s="2" t="s">
        <v>78</v>
      </c>
      <c r="K296"/>
      <c r="L296" t="s">
        <v>2100</v>
      </c>
      <c r="M296"/>
      <c r="N296" s="65" t="s">
        <v>2095</v>
      </c>
    </row>
    <row r="297" spans="1:18" x14ac:dyDescent="0.25">
      <c r="A297" s="84" t="s">
        <v>918</v>
      </c>
      <c r="B297" t="s">
        <v>1298</v>
      </c>
      <c r="C297" s="14" t="s">
        <v>3</v>
      </c>
      <c r="D297" s="14" t="s">
        <v>362</v>
      </c>
      <c r="E297" s="2" t="s">
        <v>512</v>
      </c>
      <c r="F297" t="s">
        <v>2078</v>
      </c>
      <c r="G297" s="2" t="s">
        <v>512</v>
      </c>
      <c r="H297" t="s">
        <v>2087</v>
      </c>
      <c r="I297" s="2" t="s">
        <v>448</v>
      </c>
      <c r="J297" s="2" t="s">
        <v>78</v>
      </c>
      <c r="K297"/>
      <c r="L297" t="s">
        <v>2100</v>
      </c>
      <c r="M297"/>
      <c r="N297" s="65" t="s">
        <v>2036</v>
      </c>
    </row>
    <row r="298" spans="1:18" x14ac:dyDescent="0.25">
      <c r="A298" s="84" t="s">
        <v>918</v>
      </c>
      <c r="B298" t="s">
        <v>1298</v>
      </c>
      <c r="C298" s="14" t="s">
        <v>3</v>
      </c>
      <c r="D298" s="14" t="s">
        <v>362</v>
      </c>
      <c r="E298" s="2" t="s">
        <v>514</v>
      </c>
      <c r="F298" t="s">
        <v>2078</v>
      </c>
      <c r="G298" s="2" t="s">
        <v>514</v>
      </c>
      <c r="H298" t="s">
        <v>2101</v>
      </c>
      <c r="I298" s="2" t="s">
        <v>448</v>
      </c>
      <c r="J298" s="2" t="s">
        <v>78</v>
      </c>
      <c r="K298"/>
      <c r="L298" t="s">
        <v>2100</v>
      </c>
      <c r="M298"/>
      <c r="N298" s="65" t="s">
        <v>2036</v>
      </c>
    </row>
    <row r="299" spans="1:18" x14ac:dyDescent="0.25">
      <c r="A299" s="84" t="s">
        <v>918</v>
      </c>
      <c r="B299" t="s">
        <v>1298</v>
      </c>
      <c r="C299" s="14" t="s">
        <v>3</v>
      </c>
      <c r="D299" s="14" t="s">
        <v>362</v>
      </c>
      <c r="E299" s="2" t="s">
        <v>903</v>
      </c>
      <c r="F299" t="s">
        <v>1075</v>
      </c>
      <c r="G299" s="2" t="s">
        <v>903</v>
      </c>
      <c r="H299" t="s">
        <v>1075</v>
      </c>
      <c r="I299" s="2" t="s">
        <v>383</v>
      </c>
      <c r="J299" s="2" t="s">
        <v>78</v>
      </c>
      <c r="K299"/>
      <c r="L299" t="s">
        <v>2100</v>
      </c>
      <c r="M299"/>
      <c r="N299" s="65" t="s">
        <v>2038</v>
      </c>
    </row>
    <row r="300" spans="1:18" x14ac:dyDescent="0.25">
      <c r="A300" s="84" t="s">
        <v>918</v>
      </c>
      <c r="B300" t="s">
        <v>1298</v>
      </c>
      <c r="C300" s="14" t="s">
        <v>3</v>
      </c>
      <c r="D300" s="14" t="s">
        <v>362</v>
      </c>
      <c r="E300" s="2" t="s">
        <v>904</v>
      </c>
      <c r="F300" t="s">
        <v>1076</v>
      </c>
      <c r="G300" s="2" t="s">
        <v>904</v>
      </c>
      <c r="H300" t="s">
        <v>1076</v>
      </c>
      <c r="I300" s="2" t="s">
        <v>383</v>
      </c>
      <c r="J300" s="2" t="s">
        <v>78</v>
      </c>
      <c r="K300"/>
      <c r="L300" t="s">
        <v>2100</v>
      </c>
      <c r="M300"/>
      <c r="N300" s="65" t="s">
        <v>2039</v>
      </c>
    </row>
    <row r="301" spans="1:18" x14ac:dyDescent="0.25">
      <c r="A301" s="84" t="s">
        <v>918</v>
      </c>
      <c r="B301" t="s">
        <v>1312</v>
      </c>
      <c r="C301" s="14" t="s">
        <v>3</v>
      </c>
      <c r="D301" s="14" t="s">
        <v>362</v>
      </c>
      <c r="E301" s="2" t="s">
        <v>900</v>
      </c>
      <c r="F301" t="s">
        <v>878</v>
      </c>
      <c r="G301" s="2" t="s">
        <v>900</v>
      </c>
      <c r="H301"/>
      <c r="I301" s="2" t="s">
        <v>383</v>
      </c>
      <c r="J301" s="2" t="s">
        <v>78</v>
      </c>
      <c r="K301"/>
      <c r="L301" t="s">
        <v>2100</v>
      </c>
      <c r="M301"/>
      <c r="N301" s="65" t="s">
        <v>2040</v>
      </c>
    </row>
    <row r="302" spans="1:18" x14ac:dyDescent="0.25">
      <c r="A302" s="84" t="s">
        <v>918</v>
      </c>
      <c r="B302" t="s">
        <v>1312</v>
      </c>
      <c r="C302" s="14" t="s">
        <v>3</v>
      </c>
      <c r="D302" s="14" t="s">
        <v>362</v>
      </c>
      <c r="E302" s="2" t="s">
        <v>901</v>
      </c>
      <c r="F302" t="s">
        <v>881</v>
      </c>
      <c r="G302" s="2" t="s">
        <v>901</v>
      </c>
      <c r="H302"/>
      <c r="I302" s="2" t="s">
        <v>726</v>
      </c>
      <c r="J302" s="2" t="s">
        <v>78</v>
      </c>
      <c r="K302"/>
      <c r="L302" t="s">
        <v>2100</v>
      </c>
      <c r="M302"/>
      <c r="N302" s="65" t="s">
        <v>2040</v>
      </c>
    </row>
    <row r="303" spans="1:18" x14ac:dyDescent="0.25">
      <c r="A303" s="84" t="s">
        <v>918</v>
      </c>
      <c r="B303" t="s">
        <v>1298</v>
      </c>
      <c r="C303" s="14" t="s">
        <v>3</v>
      </c>
      <c r="D303" s="14" t="s">
        <v>362</v>
      </c>
      <c r="E303" s="2" t="s">
        <v>902</v>
      </c>
      <c r="F303" t="s">
        <v>891</v>
      </c>
      <c r="G303" s="2" t="s">
        <v>902</v>
      </c>
      <c r="H303" t="s">
        <v>2042</v>
      </c>
      <c r="I303" s="2" t="s">
        <v>726</v>
      </c>
      <c r="J303" s="2" t="s">
        <v>78</v>
      </c>
      <c r="K303"/>
      <c r="L303" t="s">
        <v>2100</v>
      </c>
      <c r="M303"/>
      <c r="N303" s="65" t="s">
        <v>2041</v>
      </c>
    </row>
    <row r="304" spans="1:18" x14ac:dyDescent="0.25">
      <c r="A304" s="84" t="s">
        <v>919</v>
      </c>
      <c r="B304" t="s">
        <v>1298</v>
      </c>
      <c r="C304" s="67" t="s">
        <v>3</v>
      </c>
      <c r="D304" s="67" t="s">
        <v>362</v>
      </c>
      <c r="E304" s="73" t="s">
        <v>377</v>
      </c>
      <c r="F304" t="s">
        <v>2104</v>
      </c>
      <c r="G304" s="73" t="s">
        <v>377</v>
      </c>
      <c r="H304" t="s">
        <v>2104</v>
      </c>
      <c r="I304" s="73" t="s">
        <v>383</v>
      </c>
      <c r="J304" s="73" t="s">
        <v>78</v>
      </c>
      <c r="K304"/>
      <c r="L304" t="s">
        <v>2104</v>
      </c>
      <c r="M304"/>
      <c r="N304" s="88" t="s">
        <v>2033</v>
      </c>
      <c r="O304" s="72"/>
      <c r="P304" s="72"/>
      <c r="Q304" s="72"/>
      <c r="R304" s="72"/>
    </row>
    <row r="305" spans="1:18" x14ac:dyDescent="0.25">
      <c r="A305" s="84" t="s">
        <v>919</v>
      </c>
      <c r="B305" t="s">
        <v>1298</v>
      </c>
      <c r="C305" s="67" t="s">
        <v>3</v>
      </c>
      <c r="D305" s="67" t="s">
        <v>362</v>
      </c>
      <c r="E305" s="73" t="s">
        <v>998</v>
      </c>
      <c r="F305" t="s">
        <v>650</v>
      </c>
      <c r="G305" s="73" t="s">
        <v>998</v>
      </c>
      <c r="H305" t="s">
        <v>650</v>
      </c>
      <c r="I305" s="73" t="s">
        <v>383</v>
      </c>
      <c r="J305" s="73" t="s">
        <v>78</v>
      </c>
      <c r="K305"/>
      <c r="L305" t="s">
        <v>2104</v>
      </c>
      <c r="M305"/>
      <c r="N305" s="88" t="s">
        <v>2033</v>
      </c>
      <c r="O305" s="72"/>
      <c r="P305" s="72"/>
      <c r="Q305" s="72"/>
      <c r="R305" s="72"/>
    </row>
    <row r="306" spans="1:18" x14ac:dyDescent="0.25">
      <c r="A306" s="84" t="s">
        <v>919</v>
      </c>
      <c r="B306" t="s">
        <v>1298</v>
      </c>
      <c r="C306" s="67" t="s">
        <v>3</v>
      </c>
      <c r="D306" s="67" t="s">
        <v>362</v>
      </c>
      <c r="E306" s="73" t="s">
        <v>999</v>
      </c>
      <c r="F306" t="s">
        <v>651</v>
      </c>
      <c r="G306" s="73" t="s">
        <v>999</v>
      </c>
      <c r="H306" t="s">
        <v>651</v>
      </c>
      <c r="I306" s="73" t="s">
        <v>383</v>
      </c>
      <c r="J306" s="73" t="s">
        <v>78</v>
      </c>
      <c r="K306"/>
      <c r="L306" t="s">
        <v>2104</v>
      </c>
      <c r="M306"/>
      <c r="N306" s="88" t="s">
        <v>2033</v>
      </c>
      <c r="O306" s="72"/>
      <c r="P306" s="72"/>
      <c r="Q306" s="72"/>
      <c r="R306" s="72"/>
    </row>
    <row r="307" spans="1:18" x14ac:dyDescent="0.25">
      <c r="A307" s="84" t="s">
        <v>919</v>
      </c>
      <c r="B307" t="s">
        <v>1298</v>
      </c>
      <c r="C307" s="67" t="s">
        <v>3</v>
      </c>
      <c r="D307" s="67" t="s">
        <v>362</v>
      </c>
      <c r="E307" s="73" t="s">
        <v>1000</v>
      </c>
      <c r="F307" t="s">
        <v>652</v>
      </c>
      <c r="G307" s="73" t="s">
        <v>1000</v>
      </c>
      <c r="H307" t="s">
        <v>1335</v>
      </c>
      <c r="I307" s="73" t="s">
        <v>461</v>
      </c>
      <c r="J307" s="73" t="s">
        <v>78</v>
      </c>
      <c r="K307"/>
      <c r="L307" t="s">
        <v>2104</v>
      </c>
      <c r="M307"/>
      <c r="N307" s="88" t="s">
        <v>2033</v>
      </c>
      <c r="O307" s="72"/>
      <c r="P307" s="72"/>
      <c r="Q307" s="72"/>
      <c r="R307" s="72"/>
    </row>
    <row r="308" spans="1:18" x14ac:dyDescent="0.25">
      <c r="A308" s="84" t="s">
        <v>919</v>
      </c>
      <c r="B308" t="s">
        <v>1298</v>
      </c>
      <c r="C308" s="67" t="s">
        <v>3</v>
      </c>
      <c r="D308" s="67" t="s">
        <v>362</v>
      </c>
      <c r="E308" s="73" t="s">
        <v>1001</v>
      </c>
      <c r="F308" t="s">
        <v>653</v>
      </c>
      <c r="G308" s="73" t="s">
        <v>1001</v>
      </c>
      <c r="H308" t="s">
        <v>653</v>
      </c>
      <c r="I308" s="73" t="s">
        <v>383</v>
      </c>
      <c r="J308" s="73" t="s">
        <v>78</v>
      </c>
      <c r="K308"/>
      <c r="L308" t="s">
        <v>2104</v>
      </c>
      <c r="M308"/>
      <c r="N308" s="88" t="s">
        <v>2033</v>
      </c>
      <c r="O308" s="72"/>
      <c r="P308" s="72"/>
      <c r="Q308" s="72"/>
      <c r="R308" s="72"/>
    </row>
    <row r="309" spans="1:18" x14ac:dyDescent="0.25">
      <c r="A309" s="84" t="s">
        <v>919</v>
      </c>
      <c r="B309" t="s">
        <v>1298</v>
      </c>
      <c r="C309" s="67" t="s">
        <v>3</v>
      </c>
      <c r="D309" s="67" t="s">
        <v>362</v>
      </c>
      <c r="E309" s="73" t="s">
        <v>512</v>
      </c>
      <c r="F309" t="s">
        <v>2078</v>
      </c>
      <c r="G309" s="73" t="s">
        <v>1002</v>
      </c>
      <c r="H309" t="s">
        <v>2087</v>
      </c>
      <c r="I309" s="73" t="s">
        <v>448</v>
      </c>
      <c r="J309" s="73" t="s">
        <v>78</v>
      </c>
      <c r="K309"/>
      <c r="L309" t="s">
        <v>2104</v>
      </c>
      <c r="M309"/>
      <c r="N309" s="88" t="s">
        <v>2033</v>
      </c>
      <c r="O309" s="72"/>
      <c r="P309" s="72"/>
      <c r="Q309" s="72"/>
      <c r="R309" s="72"/>
    </row>
    <row r="310" spans="1:18" x14ac:dyDescent="0.25">
      <c r="A310" s="84" t="s">
        <v>919</v>
      </c>
      <c r="B310" t="s">
        <v>1298</v>
      </c>
      <c r="C310" s="67" t="s">
        <v>3</v>
      </c>
      <c r="D310" s="67" t="s">
        <v>362</v>
      </c>
      <c r="E310" s="73" t="s">
        <v>514</v>
      </c>
      <c r="F310" t="s">
        <v>2078</v>
      </c>
      <c r="G310" s="73" t="s">
        <v>1003</v>
      </c>
      <c r="H310" t="s">
        <v>2105</v>
      </c>
      <c r="I310" s="73" t="s">
        <v>448</v>
      </c>
      <c r="J310" s="73" t="s">
        <v>78</v>
      </c>
      <c r="K310"/>
      <c r="L310" t="s">
        <v>2104</v>
      </c>
      <c r="M310"/>
      <c r="N310" s="88" t="s">
        <v>2033</v>
      </c>
      <c r="O310" s="72"/>
      <c r="P310" s="72"/>
      <c r="Q310" s="72"/>
      <c r="R310" s="72"/>
    </row>
    <row r="311" spans="1:18" x14ac:dyDescent="0.25">
      <c r="A311" s="84" t="s">
        <v>920</v>
      </c>
      <c r="B311" t="s">
        <v>1298</v>
      </c>
      <c r="C311" s="67" t="s">
        <v>3</v>
      </c>
      <c r="D311" s="67" t="s">
        <v>362</v>
      </c>
      <c r="E311" s="73" t="s">
        <v>377</v>
      </c>
      <c r="F311" t="s">
        <v>2077</v>
      </c>
      <c r="G311" s="73" t="s">
        <v>377</v>
      </c>
      <c r="H311" t="s">
        <v>2077</v>
      </c>
      <c r="I311" s="73" t="s">
        <v>383</v>
      </c>
      <c r="J311" s="73" t="s">
        <v>78</v>
      </c>
      <c r="K311"/>
      <c r="L311" t="s">
        <v>2077</v>
      </c>
      <c r="M311"/>
      <c r="N311" s="88" t="s">
        <v>2043</v>
      </c>
      <c r="O311" s="72"/>
      <c r="P311" s="72"/>
      <c r="Q311" s="72"/>
      <c r="R311" s="72"/>
    </row>
    <row r="312" spans="1:18" x14ac:dyDescent="0.25">
      <c r="A312" s="84" t="s">
        <v>920</v>
      </c>
      <c r="B312" t="s">
        <v>1298</v>
      </c>
      <c r="C312" s="67" t="s">
        <v>3</v>
      </c>
      <c r="D312" s="67" t="s">
        <v>362</v>
      </c>
      <c r="E312" s="73" t="s">
        <v>686</v>
      </c>
      <c r="F312" t="s">
        <v>781</v>
      </c>
      <c r="G312" s="73" t="s">
        <v>929</v>
      </c>
      <c r="H312" t="s">
        <v>781</v>
      </c>
      <c r="I312" s="73" t="s">
        <v>383</v>
      </c>
      <c r="J312" s="73" t="s">
        <v>78</v>
      </c>
      <c r="K312"/>
      <c r="L312" t="s">
        <v>2077</v>
      </c>
      <c r="M312"/>
      <c r="N312" s="88" t="s">
        <v>2043</v>
      </c>
      <c r="O312" s="72"/>
      <c r="P312" s="72"/>
      <c r="Q312" s="72"/>
      <c r="R312" s="72"/>
    </row>
    <row r="313" spans="1:18" x14ac:dyDescent="0.25">
      <c r="A313" s="84" t="s">
        <v>920</v>
      </c>
      <c r="B313" t="s">
        <v>1298</v>
      </c>
      <c r="C313" s="67" t="s">
        <v>3</v>
      </c>
      <c r="D313" s="67" t="s">
        <v>362</v>
      </c>
      <c r="E313" s="73" t="s">
        <v>687</v>
      </c>
      <c r="F313" t="s">
        <v>782</v>
      </c>
      <c r="G313" s="73" t="s">
        <v>930</v>
      </c>
      <c r="H313" t="s">
        <v>782</v>
      </c>
      <c r="I313" s="73" t="s">
        <v>383</v>
      </c>
      <c r="J313" s="73" t="s">
        <v>78</v>
      </c>
      <c r="K313"/>
      <c r="L313" t="s">
        <v>2077</v>
      </c>
      <c r="M313"/>
      <c r="N313" s="88" t="s">
        <v>2043</v>
      </c>
      <c r="O313" s="72"/>
      <c r="P313" s="72"/>
      <c r="Q313" s="72"/>
      <c r="R313" s="72"/>
    </row>
    <row r="314" spans="1:18" x14ac:dyDescent="0.25">
      <c r="A314" s="84" t="s">
        <v>920</v>
      </c>
      <c r="B314" t="s">
        <v>1298</v>
      </c>
      <c r="C314" s="67" t="s">
        <v>3</v>
      </c>
      <c r="D314" s="67" t="s">
        <v>362</v>
      </c>
      <c r="E314" s="73" t="s">
        <v>689</v>
      </c>
      <c r="F314" t="s">
        <v>783</v>
      </c>
      <c r="G314" s="73" t="s">
        <v>932</v>
      </c>
      <c r="H314" t="s">
        <v>2037</v>
      </c>
      <c r="I314" s="73" t="s">
        <v>461</v>
      </c>
      <c r="J314" s="73" t="s">
        <v>78</v>
      </c>
      <c r="K314"/>
      <c r="L314" t="s">
        <v>2077</v>
      </c>
      <c r="M314"/>
      <c r="N314" s="88" t="s">
        <v>2043</v>
      </c>
      <c r="O314" s="72"/>
      <c r="P314" s="72"/>
      <c r="Q314" s="72"/>
      <c r="R314" s="72"/>
    </row>
    <row r="315" spans="1:18" x14ac:dyDescent="0.25">
      <c r="A315" s="84" t="s">
        <v>920</v>
      </c>
      <c r="B315" t="s">
        <v>1298</v>
      </c>
      <c r="C315" s="67" t="s">
        <v>3</v>
      </c>
      <c r="D315" s="67" t="s">
        <v>362</v>
      </c>
      <c r="E315" s="73" t="s">
        <v>690</v>
      </c>
      <c r="F315" t="s">
        <v>784</v>
      </c>
      <c r="G315" s="73" t="s">
        <v>934</v>
      </c>
      <c r="H315" t="s">
        <v>784</v>
      </c>
      <c r="I315" s="73" t="s">
        <v>383</v>
      </c>
      <c r="J315" s="73" t="s">
        <v>78</v>
      </c>
      <c r="K315"/>
      <c r="L315" t="s">
        <v>2077</v>
      </c>
      <c r="M315"/>
      <c r="N315" s="88" t="s">
        <v>2043</v>
      </c>
      <c r="O315" s="72"/>
      <c r="P315" s="72"/>
      <c r="Q315" s="72"/>
      <c r="R315" s="72"/>
    </row>
    <row r="316" spans="1:18" x14ac:dyDescent="0.25">
      <c r="A316" s="84" t="s">
        <v>920</v>
      </c>
      <c r="B316" t="s">
        <v>1298</v>
      </c>
      <c r="C316" s="67" t="s">
        <v>3</v>
      </c>
      <c r="D316" s="67" t="s">
        <v>362</v>
      </c>
      <c r="E316" s="73" t="s">
        <v>685</v>
      </c>
      <c r="F316" t="s">
        <v>1330</v>
      </c>
      <c r="G316" s="73" t="s">
        <v>927</v>
      </c>
      <c r="H316" t="s">
        <v>1336</v>
      </c>
      <c r="I316" s="73" t="s">
        <v>461</v>
      </c>
      <c r="J316" s="73" t="s">
        <v>78</v>
      </c>
      <c r="K316"/>
      <c r="L316" t="s">
        <v>2077</v>
      </c>
      <c r="M316"/>
      <c r="N316" s="88" t="s">
        <v>2080</v>
      </c>
      <c r="O316" s="72"/>
      <c r="P316" s="72"/>
      <c r="Q316" s="72"/>
      <c r="R316" s="72"/>
    </row>
    <row r="317" spans="1:18" x14ac:dyDescent="0.25">
      <c r="A317" s="84" t="s">
        <v>920</v>
      </c>
      <c r="B317" t="s">
        <v>1298</v>
      </c>
      <c r="C317" s="67" t="s">
        <v>3</v>
      </c>
      <c r="D317" s="67" t="s">
        <v>362</v>
      </c>
      <c r="E317" s="73" t="s">
        <v>688</v>
      </c>
      <c r="F317" t="s">
        <v>2035</v>
      </c>
      <c r="G317" s="73" t="s">
        <v>928</v>
      </c>
      <c r="H317" t="s">
        <v>2035</v>
      </c>
      <c r="I317" s="73" t="s">
        <v>383</v>
      </c>
      <c r="J317" s="73" t="s">
        <v>78</v>
      </c>
      <c r="K317"/>
      <c r="L317" t="s">
        <v>2077</v>
      </c>
      <c r="M317"/>
      <c r="N317" s="88" t="s">
        <v>2081</v>
      </c>
      <c r="O317" s="72"/>
      <c r="P317" s="72"/>
      <c r="Q317" s="72"/>
      <c r="R317" s="72"/>
    </row>
    <row r="318" spans="1:18" x14ac:dyDescent="0.25">
      <c r="A318" s="84" t="s">
        <v>920</v>
      </c>
      <c r="B318" t="s">
        <v>1298</v>
      </c>
      <c r="C318" s="67" t="s">
        <v>3</v>
      </c>
      <c r="D318" s="67" t="s">
        <v>362</v>
      </c>
      <c r="E318" s="73" t="s">
        <v>512</v>
      </c>
      <c r="F318" t="s">
        <v>2078</v>
      </c>
      <c r="G318" s="73" t="s">
        <v>513</v>
      </c>
      <c r="H318" t="s">
        <v>2087</v>
      </c>
      <c r="I318" s="73" t="s">
        <v>448</v>
      </c>
      <c r="J318" s="73" t="s">
        <v>78</v>
      </c>
      <c r="K318"/>
      <c r="L318" t="s">
        <v>2077</v>
      </c>
      <c r="M318"/>
      <c r="N318" s="88" t="s">
        <v>2082</v>
      </c>
      <c r="O318" s="72"/>
      <c r="P318" s="72"/>
      <c r="Q318" s="72"/>
      <c r="R318" s="72"/>
    </row>
    <row r="319" spans="1:18" x14ac:dyDescent="0.25">
      <c r="A319" s="84" t="s">
        <v>920</v>
      </c>
      <c r="B319" t="s">
        <v>1298</v>
      </c>
      <c r="C319" s="67" t="s">
        <v>3</v>
      </c>
      <c r="D319" s="67" t="s">
        <v>362</v>
      </c>
      <c r="E319" s="73" t="s">
        <v>514</v>
      </c>
      <c r="F319" t="s">
        <v>2078</v>
      </c>
      <c r="G319" s="73" t="s">
        <v>515</v>
      </c>
      <c r="H319" t="s">
        <v>2088</v>
      </c>
      <c r="I319" s="73" t="s">
        <v>448</v>
      </c>
      <c r="J319" s="73" t="s">
        <v>78</v>
      </c>
      <c r="K319"/>
      <c r="L319" t="s">
        <v>2077</v>
      </c>
      <c r="M319"/>
      <c r="N319" s="88" t="s">
        <v>2082</v>
      </c>
      <c r="O319" s="72"/>
      <c r="P319" s="72"/>
      <c r="Q319" s="72"/>
      <c r="R319" s="72"/>
    </row>
    <row r="320" spans="1:18" x14ac:dyDescent="0.25">
      <c r="A320" s="84" t="s">
        <v>920</v>
      </c>
      <c r="B320" t="s">
        <v>1298</v>
      </c>
      <c r="C320" s="67" t="s">
        <v>3</v>
      </c>
      <c r="D320" s="67" t="s">
        <v>362</v>
      </c>
      <c r="E320" s="73" t="s">
        <v>1081</v>
      </c>
      <c r="F320" t="s">
        <v>2055</v>
      </c>
      <c r="G320" s="73" t="s">
        <v>981</v>
      </c>
      <c r="H320" t="s">
        <v>2055</v>
      </c>
      <c r="I320" s="73" t="s">
        <v>383</v>
      </c>
      <c r="J320" s="73" t="s">
        <v>78</v>
      </c>
      <c r="K320"/>
      <c r="L320" t="s">
        <v>2077</v>
      </c>
      <c r="M320"/>
      <c r="N320" s="88" t="s">
        <v>2083</v>
      </c>
      <c r="O320" s="72"/>
      <c r="P320" s="72"/>
      <c r="Q320" s="72"/>
      <c r="R320" s="72"/>
    </row>
    <row r="321" spans="1:18" x14ac:dyDescent="0.25">
      <c r="A321" s="84" t="s">
        <v>920</v>
      </c>
      <c r="B321" t="s">
        <v>1298</v>
      </c>
      <c r="C321" s="67" t="s">
        <v>3</v>
      </c>
      <c r="D321" s="67" t="s">
        <v>362</v>
      </c>
      <c r="E321" s="73" t="s">
        <v>1082</v>
      </c>
      <c r="F321" t="s">
        <v>2056</v>
      </c>
      <c r="G321" s="73" t="s">
        <v>982</v>
      </c>
      <c r="H321" t="s">
        <v>2056</v>
      </c>
      <c r="I321" s="73" t="s">
        <v>383</v>
      </c>
      <c r="J321" s="73" t="s">
        <v>78</v>
      </c>
      <c r="K321"/>
      <c r="L321" t="s">
        <v>2077</v>
      </c>
      <c r="M321"/>
      <c r="N321" s="88" t="s">
        <v>2084</v>
      </c>
      <c r="O321" s="72"/>
      <c r="P321" s="72"/>
      <c r="Q321" s="72"/>
      <c r="R321" s="72"/>
    </row>
    <row r="322" spans="1:18" x14ac:dyDescent="0.25">
      <c r="A322" s="84" t="s">
        <v>920</v>
      </c>
      <c r="B322" t="s">
        <v>1298</v>
      </c>
      <c r="C322" s="67" t="s">
        <v>3</v>
      </c>
      <c r="D322" s="67" t="s">
        <v>362</v>
      </c>
      <c r="E322" s="73" t="s">
        <v>1079</v>
      </c>
      <c r="F322" t="s">
        <v>668</v>
      </c>
      <c r="G322" s="73" t="s">
        <v>925</v>
      </c>
      <c r="H322" t="s">
        <v>1337</v>
      </c>
      <c r="I322" s="73" t="s">
        <v>726</v>
      </c>
      <c r="J322" s="73" t="s">
        <v>78</v>
      </c>
      <c r="K322"/>
      <c r="L322" t="s">
        <v>2077</v>
      </c>
      <c r="M322"/>
      <c r="N322" s="88" t="s">
        <v>2085</v>
      </c>
      <c r="O322" s="72"/>
      <c r="P322" s="72"/>
      <c r="Q322" s="72"/>
      <c r="R322" s="72"/>
    </row>
    <row r="323" spans="1:18" x14ac:dyDescent="0.25">
      <c r="A323" s="84" t="s">
        <v>920</v>
      </c>
      <c r="B323" t="s">
        <v>1298</v>
      </c>
      <c r="C323" s="67" t="s">
        <v>3</v>
      </c>
      <c r="D323" s="67" t="s">
        <v>362</v>
      </c>
      <c r="E323" s="73" t="s">
        <v>1080</v>
      </c>
      <c r="F323" t="s">
        <v>2060</v>
      </c>
      <c r="G323" s="73" t="s">
        <v>926</v>
      </c>
      <c r="H323" t="s">
        <v>2089</v>
      </c>
      <c r="I323" s="73" t="s">
        <v>726</v>
      </c>
      <c r="J323" s="73" t="s">
        <v>78</v>
      </c>
      <c r="K323"/>
      <c r="L323" t="s">
        <v>2077</v>
      </c>
      <c r="M323"/>
      <c r="N323" s="88" t="s">
        <v>2086</v>
      </c>
      <c r="O323" s="72"/>
      <c r="P323" s="72"/>
      <c r="Q323" s="72"/>
      <c r="R323" s="72"/>
    </row>
    <row r="324" spans="1:18" x14ac:dyDescent="0.25">
      <c r="A324" s="84" t="s">
        <v>920</v>
      </c>
      <c r="B324" t="s">
        <v>1298</v>
      </c>
      <c r="C324" s="67" t="s">
        <v>3</v>
      </c>
      <c r="D324" s="67" t="s">
        <v>362</v>
      </c>
      <c r="E324" s="73" t="s">
        <v>377</v>
      </c>
      <c r="F324" t="s">
        <v>2077</v>
      </c>
      <c r="G324" s="73" t="s">
        <v>983</v>
      </c>
      <c r="H324" t="s">
        <v>2077</v>
      </c>
      <c r="I324" s="73" t="s">
        <v>383</v>
      </c>
      <c r="J324" s="73" t="s">
        <v>78</v>
      </c>
      <c r="K324"/>
      <c r="L324" t="s">
        <v>2077</v>
      </c>
      <c r="M324"/>
      <c r="N324" s="88" t="s">
        <v>2079</v>
      </c>
      <c r="O324" s="72"/>
      <c r="P324" s="72"/>
      <c r="Q324" s="72"/>
      <c r="R324" s="72"/>
    </row>
    <row r="325" spans="1:18" x14ac:dyDescent="0.25">
      <c r="A325" s="84" t="s">
        <v>920</v>
      </c>
      <c r="B325" t="s">
        <v>1298</v>
      </c>
      <c r="C325" s="67" t="s">
        <v>3</v>
      </c>
      <c r="D325" s="67" t="s">
        <v>362</v>
      </c>
      <c r="E325" s="73" t="s">
        <v>686</v>
      </c>
      <c r="F325" t="s">
        <v>781</v>
      </c>
      <c r="G325" s="73" t="s">
        <v>935</v>
      </c>
      <c r="H325" t="s">
        <v>781</v>
      </c>
      <c r="I325" s="73" t="s">
        <v>383</v>
      </c>
      <c r="J325" s="73" t="s">
        <v>78</v>
      </c>
      <c r="K325"/>
      <c r="L325" t="s">
        <v>2077</v>
      </c>
      <c r="M325"/>
      <c r="N325" s="88" t="s">
        <v>2079</v>
      </c>
      <c r="O325" s="72"/>
      <c r="P325" s="72"/>
      <c r="Q325" s="72"/>
      <c r="R325" s="72"/>
    </row>
    <row r="326" spans="1:18" x14ac:dyDescent="0.25">
      <c r="A326" s="84" t="s">
        <v>920</v>
      </c>
      <c r="B326" t="s">
        <v>1298</v>
      </c>
      <c r="C326" s="67" t="s">
        <v>3</v>
      </c>
      <c r="D326" s="67" t="s">
        <v>362</v>
      </c>
      <c r="E326" s="73" t="s">
        <v>687</v>
      </c>
      <c r="F326" t="s">
        <v>782</v>
      </c>
      <c r="G326" s="73" t="s">
        <v>936</v>
      </c>
      <c r="H326" t="s">
        <v>782</v>
      </c>
      <c r="I326" s="73" t="s">
        <v>383</v>
      </c>
      <c r="J326" s="73" t="s">
        <v>78</v>
      </c>
      <c r="K326"/>
      <c r="L326" t="s">
        <v>2077</v>
      </c>
      <c r="M326"/>
      <c r="N326" s="88" t="s">
        <v>2079</v>
      </c>
      <c r="O326" s="72"/>
      <c r="P326" s="72"/>
      <c r="Q326" s="72"/>
      <c r="R326" s="72"/>
    </row>
    <row r="327" spans="1:18" x14ac:dyDescent="0.25">
      <c r="A327" s="84" t="s">
        <v>920</v>
      </c>
      <c r="B327" t="s">
        <v>1298</v>
      </c>
      <c r="C327" s="67" t="s">
        <v>3</v>
      </c>
      <c r="D327" s="67" t="s">
        <v>362</v>
      </c>
      <c r="E327" s="73" t="s">
        <v>689</v>
      </c>
      <c r="F327" t="s">
        <v>783</v>
      </c>
      <c r="G327" s="73" t="s">
        <v>937</v>
      </c>
      <c r="H327" t="s">
        <v>2037</v>
      </c>
      <c r="I327" s="73" t="s">
        <v>461</v>
      </c>
      <c r="J327" s="73" t="s">
        <v>78</v>
      </c>
      <c r="K327"/>
      <c r="L327" t="s">
        <v>2077</v>
      </c>
      <c r="M327"/>
      <c r="N327" s="88" t="s">
        <v>2079</v>
      </c>
      <c r="O327" s="72"/>
      <c r="P327" s="72"/>
      <c r="Q327" s="72"/>
      <c r="R327" s="72"/>
    </row>
    <row r="328" spans="1:18" x14ac:dyDescent="0.25">
      <c r="A328" s="84" t="s">
        <v>920</v>
      </c>
      <c r="B328" t="s">
        <v>1298</v>
      </c>
      <c r="C328" s="67" t="s">
        <v>3</v>
      </c>
      <c r="D328" s="67" t="s">
        <v>362</v>
      </c>
      <c r="E328" s="73" t="s">
        <v>690</v>
      </c>
      <c r="F328" t="s">
        <v>784</v>
      </c>
      <c r="G328" s="73" t="s">
        <v>938</v>
      </c>
      <c r="H328" t="s">
        <v>784</v>
      </c>
      <c r="I328" s="73" t="s">
        <v>383</v>
      </c>
      <c r="J328" s="73" t="s">
        <v>78</v>
      </c>
      <c r="K328"/>
      <c r="L328" t="s">
        <v>2077</v>
      </c>
      <c r="M328"/>
      <c r="N328" s="88" t="s">
        <v>2079</v>
      </c>
      <c r="O328" s="72"/>
      <c r="P328" s="72"/>
      <c r="Q328" s="72"/>
      <c r="R328" s="72"/>
    </row>
    <row r="329" spans="1:18" x14ac:dyDescent="0.25">
      <c r="A329" s="84" t="s">
        <v>920</v>
      </c>
      <c r="B329" t="s">
        <v>1298</v>
      </c>
      <c r="C329" s="67" t="s">
        <v>3</v>
      </c>
      <c r="D329" s="67" t="s">
        <v>362</v>
      </c>
      <c r="E329" s="73" t="s">
        <v>512</v>
      </c>
      <c r="F329" t="s">
        <v>2078</v>
      </c>
      <c r="G329" s="73" t="s">
        <v>984</v>
      </c>
      <c r="H329" t="s">
        <v>2087</v>
      </c>
      <c r="I329" s="73" t="s">
        <v>448</v>
      </c>
      <c r="J329" s="73" t="s">
        <v>78</v>
      </c>
      <c r="K329"/>
      <c r="L329" t="s">
        <v>2077</v>
      </c>
      <c r="M329"/>
      <c r="N329" s="88" t="s">
        <v>2079</v>
      </c>
      <c r="O329" s="72"/>
      <c r="P329" s="72"/>
      <c r="Q329" s="72"/>
      <c r="R329" s="72"/>
    </row>
    <row r="330" spans="1:18" x14ac:dyDescent="0.25">
      <c r="A330" s="84" t="s">
        <v>920</v>
      </c>
      <c r="B330" t="s">
        <v>1298</v>
      </c>
      <c r="C330" s="67" t="s">
        <v>3</v>
      </c>
      <c r="D330" s="67" t="s">
        <v>362</v>
      </c>
      <c r="E330" s="73" t="s">
        <v>514</v>
      </c>
      <c r="F330" t="s">
        <v>2078</v>
      </c>
      <c r="G330" s="73" t="s">
        <v>985</v>
      </c>
      <c r="H330" t="s">
        <v>2088</v>
      </c>
      <c r="I330" s="73" t="s">
        <v>448</v>
      </c>
      <c r="J330" s="73" t="s">
        <v>78</v>
      </c>
      <c r="K330"/>
      <c r="L330" t="s">
        <v>2077</v>
      </c>
      <c r="M330"/>
      <c r="N330" s="88" t="s">
        <v>2079</v>
      </c>
      <c r="O330" s="72"/>
      <c r="P330" s="72"/>
      <c r="Q330" s="72"/>
      <c r="R330" s="72"/>
    </row>
    <row r="331" spans="1:18" x14ac:dyDescent="0.25">
      <c r="A331" s="84" t="s">
        <v>921</v>
      </c>
      <c r="B331" t="s">
        <v>1298</v>
      </c>
      <c r="C331" s="67" t="s">
        <v>3</v>
      </c>
      <c r="D331" s="67" t="s">
        <v>362</v>
      </c>
      <c r="E331" s="73" t="s">
        <v>377</v>
      </c>
      <c r="F331" t="s">
        <v>2091</v>
      </c>
      <c r="G331" s="73" t="s">
        <v>377</v>
      </c>
      <c r="H331" t="s">
        <v>2091</v>
      </c>
      <c r="I331" s="73" t="s">
        <v>383</v>
      </c>
      <c r="J331" s="73" t="s">
        <v>78</v>
      </c>
      <c r="K331"/>
      <c r="L331" t="s">
        <v>2091</v>
      </c>
      <c r="M331"/>
      <c r="N331" s="88" t="s">
        <v>2033</v>
      </c>
      <c r="O331" s="72"/>
      <c r="P331" s="72"/>
      <c r="Q331" s="72"/>
      <c r="R331" s="72"/>
    </row>
    <row r="332" spans="1:18" x14ac:dyDescent="0.25">
      <c r="A332" s="84" t="s">
        <v>921</v>
      </c>
      <c r="B332" t="s">
        <v>1298</v>
      </c>
      <c r="C332" s="67" t="s">
        <v>3</v>
      </c>
      <c r="D332" s="67" t="s">
        <v>362</v>
      </c>
      <c r="E332" s="73" t="s">
        <v>998</v>
      </c>
      <c r="F332" t="s">
        <v>650</v>
      </c>
      <c r="G332" s="73" t="s">
        <v>998</v>
      </c>
      <c r="H332" t="s">
        <v>650</v>
      </c>
      <c r="I332" s="73" t="s">
        <v>383</v>
      </c>
      <c r="J332" s="73" t="s">
        <v>78</v>
      </c>
      <c r="K332"/>
      <c r="L332" t="s">
        <v>2091</v>
      </c>
      <c r="M332"/>
      <c r="N332" s="88" t="s">
        <v>2033</v>
      </c>
      <c r="O332" s="72"/>
      <c r="P332" s="72"/>
      <c r="Q332" s="72"/>
      <c r="R332" s="72"/>
    </row>
    <row r="333" spans="1:18" x14ac:dyDescent="0.25">
      <c r="A333" s="84" t="s">
        <v>921</v>
      </c>
      <c r="B333" t="s">
        <v>1298</v>
      </c>
      <c r="C333" s="67" t="s">
        <v>3</v>
      </c>
      <c r="D333" s="67" t="s">
        <v>362</v>
      </c>
      <c r="E333" s="73" t="s">
        <v>999</v>
      </c>
      <c r="F333" t="s">
        <v>651</v>
      </c>
      <c r="G333" s="73" t="s">
        <v>999</v>
      </c>
      <c r="H333" t="s">
        <v>651</v>
      </c>
      <c r="I333" s="73" t="s">
        <v>383</v>
      </c>
      <c r="J333" s="73" t="s">
        <v>78</v>
      </c>
      <c r="K333"/>
      <c r="L333" t="s">
        <v>2091</v>
      </c>
      <c r="M333"/>
      <c r="N333" s="88" t="s">
        <v>2033</v>
      </c>
      <c r="O333" s="72"/>
      <c r="P333" s="72"/>
      <c r="Q333" s="72"/>
      <c r="R333" s="72"/>
    </row>
    <row r="334" spans="1:18" x14ac:dyDescent="0.25">
      <c r="A334" s="84" t="s">
        <v>921</v>
      </c>
      <c r="B334" t="s">
        <v>1298</v>
      </c>
      <c r="C334" s="67" t="s">
        <v>3</v>
      </c>
      <c r="D334" s="67" t="s">
        <v>362</v>
      </c>
      <c r="E334" s="73" t="s">
        <v>1000</v>
      </c>
      <c r="F334" t="s">
        <v>652</v>
      </c>
      <c r="G334" s="73" t="s">
        <v>1000</v>
      </c>
      <c r="H334" t="s">
        <v>1335</v>
      </c>
      <c r="I334" s="73" t="s">
        <v>461</v>
      </c>
      <c r="J334" s="73" t="s">
        <v>78</v>
      </c>
      <c r="K334"/>
      <c r="L334" t="s">
        <v>2091</v>
      </c>
      <c r="M334"/>
      <c r="N334" s="88" t="s">
        <v>2033</v>
      </c>
      <c r="O334" s="72"/>
      <c r="P334" s="72"/>
      <c r="Q334" s="72"/>
      <c r="R334" s="72"/>
    </row>
    <row r="335" spans="1:18" x14ac:dyDescent="0.25">
      <c r="A335" s="84" t="s">
        <v>921</v>
      </c>
      <c r="B335" t="s">
        <v>1298</v>
      </c>
      <c r="C335" s="67" t="s">
        <v>3</v>
      </c>
      <c r="D335" s="67" t="s">
        <v>362</v>
      </c>
      <c r="E335" s="73" t="s">
        <v>1001</v>
      </c>
      <c r="F335" t="s">
        <v>653</v>
      </c>
      <c r="G335" s="73" t="s">
        <v>1001</v>
      </c>
      <c r="H335" t="s">
        <v>653</v>
      </c>
      <c r="I335" s="73" t="s">
        <v>383</v>
      </c>
      <c r="J335" s="73" t="s">
        <v>78</v>
      </c>
      <c r="K335"/>
      <c r="L335" t="s">
        <v>2091</v>
      </c>
      <c r="M335"/>
      <c r="N335" s="88" t="s">
        <v>2033</v>
      </c>
      <c r="O335" s="72"/>
      <c r="P335" s="72"/>
      <c r="Q335" s="72"/>
      <c r="R335" s="72"/>
    </row>
    <row r="336" spans="1:18" x14ac:dyDescent="0.25">
      <c r="A336" s="84" t="s">
        <v>921</v>
      </c>
      <c r="B336" t="s">
        <v>1298</v>
      </c>
      <c r="C336" s="67" t="s">
        <v>3</v>
      </c>
      <c r="D336" s="67" t="s">
        <v>362</v>
      </c>
      <c r="E336" s="73" t="s">
        <v>512</v>
      </c>
      <c r="F336" t="s">
        <v>2078</v>
      </c>
      <c r="G336" s="73" t="s">
        <v>1002</v>
      </c>
      <c r="H336" t="s">
        <v>2087</v>
      </c>
      <c r="I336" s="73" t="s">
        <v>448</v>
      </c>
      <c r="J336" s="73" t="s">
        <v>78</v>
      </c>
      <c r="K336"/>
      <c r="L336" t="s">
        <v>2091</v>
      </c>
      <c r="M336"/>
      <c r="N336" s="88" t="s">
        <v>2033</v>
      </c>
      <c r="O336" s="72"/>
      <c r="P336" s="72"/>
      <c r="Q336" s="72"/>
      <c r="R336" s="72"/>
    </row>
    <row r="337" spans="1:18" x14ac:dyDescent="0.25">
      <c r="A337" s="84" t="s">
        <v>921</v>
      </c>
      <c r="B337" t="s">
        <v>1298</v>
      </c>
      <c r="C337" s="67" t="s">
        <v>3</v>
      </c>
      <c r="D337" s="67" t="s">
        <v>362</v>
      </c>
      <c r="E337" s="73" t="s">
        <v>514</v>
      </c>
      <c r="F337" t="s">
        <v>2078</v>
      </c>
      <c r="G337" s="73" t="s">
        <v>1003</v>
      </c>
      <c r="H337" t="s">
        <v>2092</v>
      </c>
      <c r="I337" s="73" t="s">
        <v>448</v>
      </c>
      <c r="J337" s="73" t="s">
        <v>78</v>
      </c>
      <c r="K337"/>
      <c r="L337" t="s">
        <v>2091</v>
      </c>
      <c r="M337"/>
      <c r="N337" s="88" t="s">
        <v>2033</v>
      </c>
      <c r="O337" s="72"/>
      <c r="P337" s="72"/>
      <c r="Q337" s="72"/>
      <c r="R337" s="72"/>
    </row>
    <row r="338" spans="1:18" x14ac:dyDescent="0.25">
      <c r="A338" s="34" t="s">
        <v>914</v>
      </c>
      <c r="B338" t="s">
        <v>1298</v>
      </c>
      <c r="C338" s="14" t="s">
        <v>3</v>
      </c>
      <c r="D338" s="14" t="s">
        <v>362</v>
      </c>
      <c r="E338" s="2" t="s">
        <v>377</v>
      </c>
      <c r="F338" t="s">
        <v>2097</v>
      </c>
      <c r="G338" s="2" t="s">
        <v>377</v>
      </c>
      <c r="H338" t="s">
        <v>2097</v>
      </c>
      <c r="I338" s="2" t="s">
        <v>383</v>
      </c>
      <c r="J338" s="2" t="s">
        <v>78</v>
      </c>
      <c r="K338"/>
      <c r="L338" t="s">
        <v>2097</v>
      </c>
      <c r="M338"/>
      <c r="N338" s="65" t="s">
        <v>2036</v>
      </c>
    </row>
    <row r="339" spans="1:18" x14ac:dyDescent="0.25">
      <c r="A339" s="34" t="s">
        <v>914</v>
      </c>
      <c r="B339" t="s">
        <v>1298</v>
      </c>
      <c r="C339" s="14" t="s">
        <v>3</v>
      </c>
      <c r="D339" s="14" t="s">
        <v>362</v>
      </c>
      <c r="E339" s="2" t="s">
        <v>686</v>
      </c>
      <c r="F339" t="s">
        <v>781</v>
      </c>
      <c r="G339" s="2" t="s">
        <v>906</v>
      </c>
      <c r="H339" t="s">
        <v>781</v>
      </c>
      <c r="I339" s="2" t="s">
        <v>383</v>
      </c>
      <c r="J339" s="2" t="s">
        <v>78</v>
      </c>
      <c r="K339"/>
      <c r="L339" t="s">
        <v>2097</v>
      </c>
      <c r="M339"/>
      <c r="N339" s="65" t="s">
        <v>2036</v>
      </c>
    </row>
    <row r="340" spans="1:18" x14ac:dyDescent="0.25">
      <c r="A340" s="34" t="s">
        <v>914</v>
      </c>
      <c r="B340" t="s">
        <v>1298</v>
      </c>
      <c r="C340" s="14" t="s">
        <v>3</v>
      </c>
      <c r="D340" s="14" t="s">
        <v>362</v>
      </c>
      <c r="E340" s="2" t="s">
        <v>687</v>
      </c>
      <c r="F340" t="s">
        <v>782</v>
      </c>
      <c r="G340" s="2" t="s">
        <v>907</v>
      </c>
      <c r="H340" t="s">
        <v>782</v>
      </c>
      <c r="I340" s="2" t="s">
        <v>383</v>
      </c>
      <c r="J340" s="2" t="s">
        <v>78</v>
      </c>
      <c r="K340"/>
      <c r="L340" t="s">
        <v>2097</v>
      </c>
      <c r="M340"/>
      <c r="N340" s="65" t="s">
        <v>2036</v>
      </c>
    </row>
    <row r="341" spans="1:18" x14ac:dyDescent="0.25">
      <c r="A341" s="34" t="s">
        <v>914</v>
      </c>
      <c r="B341" t="s">
        <v>1298</v>
      </c>
      <c r="C341" s="14" t="s">
        <v>3</v>
      </c>
      <c r="D341" s="14" t="s">
        <v>362</v>
      </c>
      <c r="E341" s="2" t="s">
        <v>689</v>
      </c>
      <c r="F341" t="s">
        <v>783</v>
      </c>
      <c r="G341" s="2" t="s">
        <v>909</v>
      </c>
      <c r="H341" t="s">
        <v>2037</v>
      </c>
      <c r="I341" s="2" t="s">
        <v>461</v>
      </c>
      <c r="J341" s="2" t="s">
        <v>78</v>
      </c>
      <c r="K341"/>
      <c r="L341" t="s">
        <v>2097</v>
      </c>
      <c r="M341"/>
      <c r="N341" s="65" t="s">
        <v>2036</v>
      </c>
    </row>
    <row r="342" spans="1:18" x14ac:dyDescent="0.25">
      <c r="A342" s="34" t="s">
        <v>914</v>
      </c>
      <c r="B342" t="s">
        <v>1298</v>
      </c>
      <c r="C342" s="14" t="s">
        <v>3</v>
      </c>
      <c r="D342" s="14" t="s">
        <v>362</v>
      </c>
      <c r="E342" s="2" t="s">
        <v>690</v>
      </c>
      <c r="F342" t="s">
        <v>784</v>
      </c>
      <c r="G342" s="2" t="s">
        <v>910</v>
      </c>
      <c r="H342" t="s">
        <v>784</v>
      </c>
      <c r="I342" s="2" t="s">
        <v>383</v>
      </c>
      <c r="J342" s="2" t="s">
        <v>78</v>
      </c>
      <c r="K342"/>
      <c r="L342" t="s">
        <v>2097</v>
      </c>
      <c r="M342"/>
      <c r="N342" s="65" t="s">
        <v>2036</v>
      </c>
    </row>
    <row r="343" spans="1:18" x14ac:dyDescent="0.25">
      <c r="A343" s="34" t="s">
        <v>914</v>
      </c>
      <c r="B343" t="s">
        <v>1298</v>
      </c>
      <c r="C343" s="14" t="s">
        <v>3</v>
      </c>
      <c r="D343" s="14" t="s">
        <v>362</v>
      </c>
      <c r="E343" s="2" t="s">
        <v>685</v>
      </c>
      <c r="F343" t="s">
        <v>1330</v>
      </c>
      <c r="G343" s="2" t="s">
        <v>905</v>
      </c>
      <c r="H343" t="s">
        <v>1336</v>
      </c>
      <c r="I343" s="2" t="s">
        <v>461</v>
      </c>
      <c r="J343" s="2" t="s">
        <v>78</v>
      </c>
      <c r="K343"/>
      <c r="L343" t="s">
        <v>2097</v>
      </c>
      <c r="M343"/>
      <c r="N343" s="65" t="s">
        <v>2094</v>
      </c>
    </row>
    <row r="344" spans="1:18" x14ac:dyDescent="0.25">
      <c r="A344" s="34" t="s">
        <v>914</v>
      </c>
      <c r="B344" t="s">
        <v>1298</v>
      </c>
      <c r="C344" s="14" t="s">
        <v>3</v>
      </c>
      <c r="D344" s="14" t="s">
        <v>362</v>
      </c>
      <c r="E344" s="2" t="s">
        <v>688</v>
      </c>
      <c r="F344" t="s">
        <v>2035</v>
      </c>
      <c r="G344" s="2" t="s">
        <v>908</v>
      </c>
      <c r="H344" t="s">
        <v>2035</v>
      </c>
      <c r="I344" s="2" t="s">
        <v>383</v>
      </c>
      <c r="J344" s="2" t="s">
        <v>78</v>
      </c>
      <c r="K344"/>
      <c r="L344" t="s">
        <v>2097</v>
      </c>
      <c r="M344"/>
      <c r="N344" s="65" t="s">
        <v>2095</v>
      </c>
    </row>
    <row r="345" spans="1:18" x14ac:dyDescent="0.25">
      <c r="A345" s="34" t="s">
        <v>914</v>
      </c>
      <c r="B345" t="s">
        <v>1298</v>
      </c>
      <c r="C345" s="14" t="s">
        <v>3</v>
      </c>
      <c r="D345" s="14" t="s">
        <v>362</v>
      </c>
      <c r="E345" s="2" t="s">
        <v>512</v>
      </c>
      <c r="F345" t="s">
        <v>2078</v>
      </c>
      <c r="G345" s="2" t="s">
        <v>512</v>
      </c>
      <c r="H345" t="s">
        <v>2087</v>
      </c>
      <c r="I345" s="2" t="s">
        <v>448</v>
      </c>
      <c r="J345" s="2" t="s">
        <v>78</v>
      </c>
      <c r="K345"/>
      <c r="L345" t="s">
        <v>2097</v>
      </c>
      <c r="M345"/>
      <c r="N345" s="65" t="s">
        <v>2036</v>
      </c>
    </row>
    <row r="346" spans="1:18" x14ac:dyDescent="0.25">
      <c r="A346" s="34" t="s">
        <v>914</v>
      </c>
      <c r="B346" t="s">
        <v>1298</v>
      </c>
      <c r="C346" s="14" t="s">
        <v>3</v>
      </c>
      <c r="D346" s="14" t="s">
        <v>362</v>
      </c>
      <c r="E346" s="2" t="s">
        <v>514</v>
      </c>
      <c r="F346" t="s">
        <v>2078</v>
      </c>
      <c r="G346" s="2" t="s">
        <v>514</v>
      </c>
      <c r="H346" t="s">
        <v>2098</v>
      </c>
      <c r="I346" s="2" t="s">
        <v>448</v>
      </c>
      <c r="J346" s="2" t="s">
        <v>78</v>
      </c>
      <c r="K346"/>
      <c r="L346" t="s">
        <v>2097</v>
      </c>
      <c r="M346"/>
      <c r="N346" s="65" t="s">
        <v>2036</v>
      </c>
    </row>
    <row r="347" spans="1:18" x14ac:dyDescent="0.25">
      <c r="A347" s="34" t="s">
        <v>914</v>
      </c>
      <c r="B347" t="s">
        <v>1298</v>
      </c>
      <c r="C347" s="14" t="s">
        <v>3</v>
      </c>
      <c r="D347" s="14" t="s">
        <v>362</v>
      </c>
      <c r="E347" s="2" t="s">
        <v>903</v>
      </c>
      <c r="F347" t="s">
        <v>1075</v>
      </c>
      <c r="G347" s="2" t="s">
        <v>903</v>
      </c>
      <c r="H347" t="s">
        <v>1075</v>
      </c>
      <c r="I347" s="2" t="s">
        <v>383</v>
      </c>
      <c r="J347" s="2" t="s">
        <v>78</v>
      </c>
      <c r="K347"/>
      <c r="L347" t="s">
        <v>2097</v>
      </c>
      <c r="M347"/>
      <c r="N347" s="65" t="s">
        <v>2038</v>
      </c>
    </row>
    <row r="348" spans="1:18" x14ac:dyDescent="0.25">
      <c r="A348" s="34" t="s">
        <v>914</v>
      </c>
      <c r="B348" t="s">
        <v>1298</v>
      </c>
      <c r="C348" s="14" t="s">
        <v>3</v>
      </c>
      <c r="D348" s="14" t="s">
        <v>362</v>
      </c>
      <c r="E348" s="2" t="s">
        <v>904</v>
      </c>
      <c r="F348" t="s">
        <v>1076</v>
      </c>
      <c r="G348" s="2" t="s">
        <v>904</v>
      </c>
      <c r="H348" t="s">
        <v>1076</v>
      </c>
      <c r="I348" s="2" t="s">
        <v>383</v>
      </c>
      <c r="J348" s="2" t="s">
        <v>78</v>
      </c>
      <c r="K348"/>
      <c r="L348" t="s">
        <v>2097</v>
      </c>
      <c r="M348"/>
      <c r="N348" s="65" t="s">
        <v>2039</v>
      </c>
    </row>
    <row r="349" spans="1:18" x14ac:dyDescent="0.25">
      <c r="A349" s="34" t="s">
        <v>914</v>
      </c>
      <c r="B349" t="s">
        <v>1312</v>
      </c>
      <c r="C349" s="14" t="s">
        <v>3</v>
      </c>
      <c r="D349" s="14" t="s">
        <v>362</v>
      </c>
      <c r="E349" s="2" t="s">
        <v>900</v>
      </c>
      <c r="F349" t="s">
        <v>2000</v>
      </c>
      <c r="G349" s="2" t="s">
        <v>900</v>
      </c>
      <c r="H349"/>
      <c r="I349" s="2" t="s">
        <v>383</v>
      </c>
      <c r="J349" s="2" t="s">
        <v>78</v>
      </c>
      <c r="K349"/>
      <c r="L349" t="s">
        <v>2097</v>
      </c>
      <c r="M349"/>
      <c r="N349" s="65" t="s">
        <v>2040</v>
      </c>
    </row>
    <row r="350" spans="1:18" x14ac:dyDescent="0.25">
      <c r="A350" s="34" t="s">
        <v>914</v>
      </c>
      <c r="B350" t="s">
        <v>1312</v>
      </c>
      <c r="C350" s="14" t="s">
        <v>3</v>
      </c>
      <c r="D350" s="14" t="s">
        <v>362</v>
      </c>
      <c r="E350" s="2" t="s">
        <v>901</v>
      </c>
      <c r="F350" t="s">
        <v>881</v>
      </c>
      <c r="G350" s="2" t="s">
        <v>901</v>
      </c>
      <c r="H350"/>
      <c r="I350" s="2" t="s">
        <v>726</v>
      </c>
      <c r="J350" s="2" t="s">
        <v>78</v>
      </c>
      <c r="K350"/>
      <c r="L350" t="s">
        <v>2097</v>
      </c>
      <c r="M350"/>
      <c r="N350" s="65" t="s">
        <v>2040</v>
      </c>
    </row>
    <row r="351" spans="1:18" x14ac:dyDescent="0.25">
      <c r="A351" s="34" t="s">
        <v>914</v>
      </c>
      <c r="B351" t="s">
        <v>1298</v>
      </c>
      <c r="C351" s="14" t="s">
        <v>3</v>
      </c>
      <c r="D351" s="14" t="s">
        <v>362</v>
      </c>
      <c r="E351" s="2" t="s">
        <v>902</v>
      </c>
      <c r="F351" t="s">
        <v>891</v>
      </c>
      <c r="G351" s="2" t="s">
        <v>902</v>
      </c>
      <c r="H351" t="s">
        <v>2042</v>
      </c>
      <c r="I351" s="2" t="s">
        <v>726</v>
      </c>
      <c r="J351" s="2" t="s">
        <v>78</v>
      </c>
      <c r="K351"/>
      <c r="L351" t="s">
        <v>2097</v>
      </c>
      <c r="M351"/>
      <c r="N351" s="65" t="s">
        <v>2041</v>
      </c>
    </row>
    <row r="352" spans="1:18" x14ac:dyDescent="0.25">
      <c r="A352" s="34" t="s">
        <v>914</v>
      </c>
      <c r="B352" t="s">
        <v>1298</v>
      </c>
      <c r="C352" s="67" t="s">
        <v>3</v>
      </c>
      <c r="D352" s="67" t="s">
        <v>362</v>
      </c>
      <c r="E352" s="73" t="s">
        <v>686</v>
      </c>
      <c r="F352" t="s">
        <v>781</v>
      </c>
      <c r="G352" s="73" t="s">
        <v>935</v>
      </c>
      <c r="H352" t="s">
        <v>781</v>
      </c>
      <c r="I352" s="73" t="s">
        <v>383</v>
      </c>
      <c r="J352" s="73" t="s">
        <v>78</v>
      </c>
      <c r="K352"/>
      <c r="L352" t="s">
        <v>2097</v>
      </c>
      <c r="M352"/>
      <c r="N352" s="88" t="s">
        <v>2093</v>
      </c>
      <c r="O352" s="72"/>
      <c r="P352" s="72"/>
      <c r="Q352" s="72"/>
      <c r="R352" s="72"/>
    </row>
    <row r="353" spans="1:18" x14ac:dyDescent="0.25">
      <c r="A353" s="34" t="s">
        <v>914</v>
      </c>
      <c r="B353" t="s">
        <v>1298</v>
      </c>
      <c r="C353" s="67" t="s">
        <v>3</v>
      </c>
      <c r="D353" s="67" t="s">
        <v>362</v>
      </c>
      <c r="E353" s="73" t="s">
        <v>687</v>
      </c>
      <c r="F353" t="s">
        <v>782</v>
      </c>
      <c r="G353" s="73" t="s">
        <v>936</v>
      </c>
      <c r="H353" t="s">
        <v>782</v>
      </c>
      <c r="I353" s="73" t="s">
        <v>383</v>
      </c>
      <c r="J353" s="73" t="s">
        <v>78</v>
      </c>
      <c r="K353"/>
      <c r="L353" t="s">
        <v>2097</v>
      </c>
      <c r="M353"/>
      <c r="N353" s="88" t="s">
        <v>2093</v>
      </c>
      <c r="O353" s="72"/>
      <c r="P353" s="72"/>
      <c r="Q353" s="72"/>
      <c r="R353" s="72"/>
    </row>
    <row r="354" spans="1:18" x14ac:dyDescent="0.25">
      <c r="A354" s="34" t="s">
        <v>914</v>
      </c>
      <c r="B354" t="s">
        <v>1298</v>
      </c>
      <c r="C354" s="67" t="s">
        <v>3</v>
      </c>
      <c r="D354" s="67" t="s">
        <v>362</v>
      </c>
      <c r="E354" s="73" t="s">
        <v>689</v>
      </c>
      <c r="F354" t="s">
        <v>783</v>
      </c>
      <c r="G354" s="73" t="s">
        <v>937</v>
      </c>
      <c r="H354" t="s">
        <v>2037</v>
      </c>
      <c r="I354" s="73" t="s">
        <v>461</v>
      </c>
      <c r="J354" s="73" t="s">
        <v>78</v>
      </c>
      <c r="K354"/>
      <c r="L354" t="s">
        <v>2097</v>
      </c>
      <c r="M354"/>
      <c r="N354" s="88" t="s">
        <v>2093</v>
      </c>
      <c r="O354" s="72"/>
      <c r="P354" s="72"/>
      <c r="Q354" s="72"/>
      <c r="R354" s="72"/>
    </row>
    <row r="355" spans="1:18" x14ac:dyDescent="0.25">
      <c r="A355" s="34" t="s">
        <v>914</v>
      </c>
      <c r="B355" t="s">
        <v>1298</v>
      </c>
      <c r="C355" s="67" t="s">
        <v>3</v>
      </c>
      <c r="D355" s="67" t="s">
        <v>362</v>
      </c>
      <c r="E355" s="73" t="s">
        <v>690</v>
      </c>
      <c r="F355" t="s">
        <v>784</v>
      </c>
      <c r="G355" s="73" t="s">
        <v>938</v>
      </c>
      <c r="H355" t="s">
        <v>784</v>
      </c>
      <c r="I355" s="73" t="s">
        <v>383</v>
      </c>
      <c r="J355" s="73" t="s">
        <v>78</v>
      </c>
      <c r="K355"/>
      <c r="L355" t="s">
        <v>2097</v>
      </c>
      <c r="M355"/>
      <c r="N355" s="88" t="s">
        <v>2093</v>
      </c>
      <c r="O355" s="72"/>
      <c r="P355" s="72"/>
      <c r="Q355" s="72"/>
      <c r="R355" s="72"/>
    </row>
    <row r="356" spans="1:18" x14ac:dyDescent="0.25">
      <c r="A356" s="34" t="s">
        <v>914</v>
      </c>
      <c r="B356" t="s">
        <v>1298</v>
      </c>
      <c r="C356" s="67" t="s">
        <v>3</v>
      </c>
      <c r="D356" s="67" t="s">
        <v>362</v>
      </c>
      <c r="E356" s="73" t="s">
        <v>512</v>
      </c>
      <c r="F356" t="s">
        <v>2078</v>
      </c>
      <c r="G356" s="73" t="s">
        <v>984</v>
      </c>
      <c r="H356" t="s">
        <v>2087</v>
      </c>
      <c r="I356" s="73" t="s">
        <v>448</v>
      </c>
      <c r="J356" s="73" t="s">
        <v>78</v>
      </c>
      <c r="K356"/>
      <c r="L356" t="s">
        <v>2097</v>
      </c>
      <c r="M356"/>
      <c r="N356" s="88" t="s">
        <v>2093</v>
      </c>
      <c r="O356" s="72"/>
      <c r="P356" s="72"/>
      <c r="Q356" s="72"/>
      <c r="R356" s="72"/>
    </row>
    <row r="357" spans="1:18" x14ac:dyDescent="0.25">
      <c r="A357" s="34" t="s">
        <v>914</v>
      </c>
      <c r="B357" t="s">
        <v>1298</v>
      </c>
      <c r="C357" s="67" t="s">
        <v>3</v>
      </c>
      <c r="D357" s="67" t="s">
        <v>362</v>
      </c>
      <c r="E357" s="73" t="s">
        <v>514</v>
      </c>
      <c r="F357" t="s">
        <v>2078</v>
      </c>
      <c r="G357" s="73" t="s">
        <v>985</v>
      </c>
      <c r="H357" t="s">
        <v>2098</v>
      </c>
      <c r="I357" s="73" t="s">
        <v>448</v>
      </c>
      <c r="J357" s="73" t="s">
        <v>78</v>
      </c>
      <c r="K357"/>
      <c r="L357" t="s">
        <v>2097</v>
      </c>
      <c r="M357"/>
      <c r="N357" s="88" t="s">
        <v>2093</v>
      </c>
      <c r="O357" s="72"/>
      <c r="P357" s="72"/>
      <c r="Q357" s="72"/>
      <c r="R357" s="72"/>
    </row>
    <row r="358" spans="1:18" x14ac:dyDescent="0.25">
      <c r="A358" s="84" t="s">
        <v>922</v>
      </c>
      <c r="B358" t="s">
        <v>1298</v>
      </c>
      <c r="C358" s="67" t="s">
        <v>3</v>
      </c>
      <c r="D358" s="67" t="s">
        <v>362</v>
      </c>
      <c r="E358" s="73" t="s">
        <v>377</v>
      </c>
      <c r="F358" t="s">
        <v>2108</v>
      </c>
      <c r="G358" s="73" t="s">
        <v>377</v>
      </c>
      <c r="H358" t="s">
        <v>2108</v>
      </c>
      <c r="I358" s="73" t="s">
        <v>383</v>
      </c>
      <c r="J358" s="73" t="s">
        <v>78</v>
      </c>
      <c r="K358"/>
      <c r="L358" t="s">
        <v>2108</v>
      </c>
      <c r="M358"/>
      <c r="N358" s="88" t="s">
        <v>2043</v>
      </c>
      <c r="O358" s="72"/>
      <c r="P358" s="72"/>
      <c r="Q358" s="72"/>
      <c r="R358" s="72"/>
    </row>
    <row r="359" spans="1:18" x14ac:dyDescent="0.25">
      <c r="A359" s="84" t="s">
        <v>922</v>
      </c>
      <c r="B359" t="s">
        <v>1298</v>
      </c>
      <c r="C359" s="67" t="s">
        <v>3</v>
      </c>
      <c r="D359" s="67" t="s">
        <v>362</v>
      </c>
      <c r="E359" s="73" t="s">
        <v>686</v>
      </c>
      <c r="F359" t="s">
        <v>781</v>
      </c>
      <c r="G359" s="73" t="s">
        <v>929</v>
      </c>
      <c r="H359" t="s">
        <v>781</v>
      </c>
      <c r="I359" s="73" t="s">
        <v>383</v>
      </c>
      <c r="J359" s="73" t="s">
        <v>78</v>
      </c>
      <c r="K359"/>
      <c r="L359" t="s">
        <v>2108</v>
      </c>
      <c r="M359"/>
      <c r="N359" s="88" t="s">
        <v>2043</v>
      </c>
      <c r="O359" s="72"/>
      <c r="P359" s="72"/>
      <c r="Q359" s="72"/>
      <c r="R359" s="72"/>
    </row>
    <row r="360" spans="1:18" x14ac:dyDescent="0.25">
      <c r="A360" s="84" t="s">
        <v>922</v>
      </c>
      <c r="B360" t="s">
        <v>1298</v>
      </c>
      <c r="C360" s="67" t="s">
        <v>3</v>
      </c>
      <c r="D360" s="67" t="s">
        <v>362</v>
      </c>
      <c r="E360" s="73" t="s">
        <v>687</v>
      </c>
      <c r="F360" t="s">
        <v>782</v>
      </c>
      <c r="G360" s="73" t="s">
        <v>930</v>
      </c>
      <c r="H360" t="s">
        <v>782</v>
      </c>
      <c r="I360" s="73" t="s">
        <v>383</v>
      </c>
      <c r="J360" s="73" t="s">
        <v>78</v>
      </c>
      <c r="K360"/>
      <c r="L360" t="s">
        <v>2108</v>
      </c>
      <c r="M360"/>
      <c r="N360" s="88" t="s">
        <v>2043</v>
      </c>
      <c r="O360" s="72"/>
      <c r="P360" s="72"/>
      <c r="Q360" s="72"/>
      <c r="R360" s="72"/>
    </row>
    <row r="361" spans="1:18" x14ac:dyDescent="0.25">
      <c r="A361" s="84" t="s">
        <v>922</v>
      </c>
      <c r="B361" t="s">
        <v>1298</v>
      </c>
      <c r="C361" s="67" t="s">
        <v>3</v>
      </c>
      <c r="D361" s="67" t="s">
        <v>362</v>
      </c>
      <c r="E361" s="73" t="s">
        <v>689</v>
      </c>
      <c r="F361" t="s">
        <v>783</v>
      </c>
      <c r="G361" s="73" t="s">
        <v>932</v>
      </c>
      <c r="H361" t="s">
        <v>2037</v>
      </c>
      <c r="I361" s="73" t="s">
        <v>461</v>
      </c>
      <c r="J361" s="73" t="s">
        <v>78</v>
      </c>
      <c r="K361"/>
      <c r="L361" t="s">
        <v>2108</v>
      </c>
      <c r="M361"/>
      <c r="N361" s="88" t="s">
        <v>2043</v>
      </c>
      <c r="O361" s="72"/>
      <c r="P361" s="72"/>
      <c r="Q361" s="72"/>
      <c r="R361" s="72"/>
    </row>
    <row r="362" spans="1:18" x14ac:dyDescent="0.25">
      <c r="A362" s="84" t="s">
        <v>922</v>
      </c>
      <c r="B362" t="s">
        <v>1298</v>
      </c>
      <c r="C362" s="67" t="s">
        <v>3</v>
      </c>
      <c r="D362" s="67" t="s">
        <v>362</v>
      </c>
      <c r="E362" s="73" t="s">
        <v>690</v>
      </c>
      <c r="F362" t="s">
        <v>784</v>
      </c>
      <c r="G362" s="73" t="s">
        <v>934</v>
      </c>
      <c r="H362" t="s">
        <v>784</v>
      </c>
      <c r="I362" s="73" t="s">
        <v>383</v>
      </c>
      <c r="J362" s="73" t="s">
        <v>78</v>
      </c>
      <c r="K362"/>
      <c r="L362" t="s">
        <v>2108</v>
      </c>
      <c r="M362"/>
      <c r="N362" s="88" t="s">
        <v>2043</v>
      </c>
      <c r="O362" s="72"/>
      <c r="P362" s="72"/>
      <c r="Q362" s="72"/>
      <c r="R362" s="72"/>
    </row>
    <row r="363" spans="1:18" x14ac:dyDescent="0.25">
      <c r="A363" s="84" t="s">
        <v>922</v>
      </c>
      <c r="B363" t="s">
        <v>1298</v>
      </c>
      <c r="C363" s="67" t="s">
        <v>3</v>
      </c>
      <c r="D363" s="67" t="s">
        <v>362</v>
      </c>
      <c r="E363" s="73" t="s">
        <v>685</v>
      </c>
      <c r="F363" t="s">
        <v>1330</v>
      </c>
      <c r="G363" s="73" t="s">
        <v>927</v>
      </c>
      <c r="H363" t="s">
        <v>1336</v>
      </c>
      <c r="I363" s="73" t="s">
        <v>461</v>
      </c>
      <c r="J363" s="73" t="s">
        <v>78</v>
      </c>
      <c r="K363"/>
      <c r="L363" t="s">
        <v>2108</v>
      </c>
      <c r="M363"/>
      <c r="N363" s="88" t="s">
        <v>2080</v>
      </c>
      <c r="O363" s="72"/>
      <c r="P363" s="72"/>
      <c r="Q363" s="72"/>
      <c r="R363" s="72"/>
    </row>
    <row r="364" spans="1:18" x14ac:dyDescent="0.25">
      <c r="A364" s="84" t="s">
        <v>922</v>
      </c>
      <c r="B364" t="s">
        <v>1298</v>
      </c>
      <c r="C364" s="67" t="s">
        <v>3</v>
      </c>
      <c r="D364" s="67" t="s">
        <v>362</v>
      </c>
      <c r="E364" s="73" t="s">
        <v>688</v>
      </c>
      <c r="F364" t="s">
        <v>2035</v>
      </c>
      <c r="G364" s="73" t="s">
        <v>928</v>
      </c>
      <c r="H364" t="s">
        <v>2035</v>
      </c>
      <c r="I364" s="73" t="s">
        <v>383</v>
      </c>
      <c r="J364" s="73" t="s">
        <v>78</v>
      </c>
      <c r="K364"/>
      <c r="L364" t="s">
        <v>2108</v>
      </c>
      <c r="M364"/>
      <c r="N364" s="88" t="s">
        <v>2081</v>
      </c>
      <c r="O364" s="72"/>
      <c r="P364" s="72"/>
      <c r="Q364" s="72"/>
      <c r="R364" s="72"/>
    </row>
    <row r="365" spans="1:18" x14ac:dyDescent="0.25">
      <c r="A365" s="84" t="s">
        <v>922</v>
      </c>
      <c r="B365" t="s">
        <v>1298</v>
      </c>
      <c r="C365" s="67" t="s">
        <v>3</v>
      </c>
      <c r="D365" s="67" t="s">
        <v>362</v>
      </c>
      <c r="E365" s="73" t="s">
        <v>512</v>
      </c>
      <c r="F365" t="s">
        <v>2078</v>
      </c>
      <c r="G365" s="73" t="s">
        <v>513</v>
      </c>
      <c r="H365" t="s">
        <v>2087</v>
      </c>
      <c r="I365" s="73" t="s">
        <v>448</v>
      </c>
      <c r="J365" s="73" t="s">
        <v>78</v>
      </c>
      <c r="K365"/>
      <c r="L365" t="s">
        <v>2108</v>
      </c>
      <c r="M365"/>
      <c r="N365" s="88" t="s">
        <v>2082</v>
      </c>
      <c r="O365" s="72"/>
      <c r="P365" s="72"/>
      <c r="Q365" s="72"/>
      <c r="R365" s="72"/>
    </row>
    <row r="366" spans="1:18" x14ac:dyDescent="0.25">
      <c r="A366" s="84" t="s">
        <v>922</v>
      </c>
      <c r="B366" t="s">
        <v>1298</v>
      </c>
      <c r="C366" s="67" t="s">
        <v>3</v>
      </c>
      <c r="D366" s="67" t="s">
        <v>362</v>
      </c>
      <c r="E366" s="73" t="s">
        <v>514</v>
      </c>
      <c r="F366" t="s">
        <v>2078</v>
      </c>
      <c r="G366" s="73" t="s">
        <v>515</v>
      </c>
      <c r="H366" t="s">
        <v>2109</v>
      </c>
      <c r="I366" s="73" t="s">
        <v>448</v>
      </c>
      <c r="J366" s="73" t="s">
        <v>78</v>
      </c>
      <c r="K366"/>
      <c r="L366" t="s">
        <v>2108</v>
      </c>
      <c r="M366"/>
      <c r="N366" s="88" t="s">
        <v>2082</v>
      </c>
      <c r="O366" s="72"/>
      <c r="P366" s="72"/>
      <c r="Q366" s="72"/>
      <c r="R366" s="72"/>
    </row>
    <row r="367" spans="1:18" x14ac:dyDescent="0.25">
      <c r="A367" s="84" t="s">
        <v>922</v>
      </c>
      <c r="B367" t="s">
        <v>1298</v>
      </c>
      <c r="C367" s="67" t="s">
        <v>3</v>
      </c>
      <c r="D367" s="67" t="s">
        <v>362</v>
      </c>
      <c r="E367" s="73" t="s">
        <v>1081</v>
      </c>
      <c r="F367" t="s">
        <v>2071</v>
      </c>
      <c r="G367" s="73" t="s">
        <v>981</v>
      </c>
      <c r="H367" t="s">
        <v>2071</v>
      </c>
      <c r="I367" s="73" t="s">
        <v>383</v>
      </c>
      <c r="J367" s="73" t="s">
        <v>78</v>
      </c>
      <c r="K367"/>
      <c r="L367" t="s">
        <v>2108</v>
      </c>
      <c r="M367"/>
      <c r="N367" s="88" t="s">
        <v>2083</v>
      </c>
      <c r="O367" s="72"/>
      <c r="P367" s="72"/>
      <c r="Q367" s="72"/>
      <c r="R367" s="72"/>
    </row>
    <row r="368" spans="1:18" x14ac:dyDescent="0.25">
      <c r="A368" s="84" t="s">
        <v>922</v>
      </c>
      <c r="B368" t="s">
        <v>1298</v>
      </c>
      <c r="C368" s="67" t="s">
        <v>3</v>
      </c>
      <c r="D368" s="67" t="s">
        <v>362</v>
      </c>
      <c r="E368" s="73" t="s">
        <v>1082</v>
      </c>
      <c r="F368" t="s">
        <v>2072</v>
      </c>
      <c r="G368" s="73" t="s">
        <v>982</v>
      </c>
      <c r="H368" t="s">
        <v>2072</v>
      </c>
      <c r="I368" s="73" t="s">
        <v>383</v>
      </c>
      <c r="J368" s="73" t="s">
        <v>78</v>
      </c>
      <c r="K368"/>
      <c r="L368" t="s">
        <v>2108</v>
      </c>
      <c r="M368"/>
      <c r="N368" s="88" t="s">
        <v>2084</v>
      </c>
      <c r="O368" s="72"/>
      <c r="P368" s="72"/>
      <c r="Q368" s="72"/>
      <c r="R368" s="72"/>
    </row>
    <row r="369" spans="1:18" x14ac:dyDescent="0.25">
      <c r="A369" s="84" t="s">
        <v>922</v>
      </c>
      <c r="B369" t="s">
        <v>1298</v>
      </c>
      <c r="C369" s="67" t="s">
        <v>3</v>
      </c>
      <c r="D369" s="67" t="s">
        <v>362</v>
      </c>
      <c r="E369" s="73" t="s">
        <v>1079</v>
      </c>
      <c r="F369" t="s">
        <v>668</v>
      </c>
      <c r="G369" s="73" t="s">
        <v>925</v>
      </c>
      <c r="H369" t="s">
        <v>1337</v>
      </c>
      <c r="I369" s="73" t="s">
        <v>726</v>
      </c>
      <c r="J369" s="73" t="s">
        <v>78</v>
      </c>
      <c r="K369"/>
      <c r="L369" t="s">
        <v>2108</v>
      </c>
      <c r="M369"/>
      <c r="N369" s="88" t="s">
        <v>2085</v>
      </c>
      <c r="O369" s="72"/>
      <c r="P369" s="72"/>
      <c r="Q369" s="72"/>
      <c r="R369" s="72"/>
    </row>
    <row r="370" spans="1:18" x14ac:dyDescent="0.25">
      <c r="A370" s="84" t="s">
        <v>922</v>
      </c>
      <c r="B370" t="s">
        <v>1298</v>
      </c>
      <c r="C370" s="67" t="s">
        <v>3</v>
      </c>
      <c r="D370" s="67" t="s">
        <v>362</v>
      </c>
      <c r="E370" s="73" t="s">
        <v>1080</v>
      </c>
      <c r="F370" t="s">
        <v>2063</v>
      </c>
      <c r="G370" s="73" t="s">
        <v>926</v>
      </c>
      <c r="H370" t="s">
        <v>2110</v>
      </c>
      <c r="I370" s="73" t="s">
        <v>726</v>
      </c>
      <c r="J370" s="73" t="s">
        <v>78</v>
      </c>
      <c r="K370"/>
      <c r="L370" t="s">
        <v>2108</v>
      </c>
      <c r="M370"/>
      <c r="N370" s="88" t="s">
        <v>2086</v>
      </c>
      <c r="O370" s="72"/>
      <c r="P370" s="72"/>
      <c r="Q370" s="72"/>
      <c r="R370" s="72"/>
    </row>
    <row r="371" spans="1:18" x14ac:dyDescent="0.25">
      <c r="A371" s="84" t="s">
        <v>922</v>
      </c>
      <c r="B371" t="s">
        <v>1298</v>
      </c>
      <c r="C371" s="67" t="s">
        <v>3</v>
      </c>
      <c r="D371" s="67" t="s">
        <v>362</v>
      </c>
      <c r="E371" s="73" t="s">
        <v>377</v>
      </c>
      <c r="F371" t="s">
        <v>2108</v>
      </c>
      <c r="G371" s="73" t="s">
        <v>983</v>
      </c>
      <c r="H371" t="s">
        <v>2108</v>
      </c>
      <c r="I371" s="73" t="s">
        <v>383</v>
      </c>
      <c r="J371" s="73" t="s">
        <v>78</v>
      </c>
      <c r="K371"/>
      <c r="L371" t="s">
        <v>2108</v>
      </c>
      <c r="M371"/>
      <c r="N371" s="88" t="s">
        <v>2079</v>
      </c>
      <c r="O371" s="72"/>
      <c r="P371" s="72"/>
      <c r="Q371" s="72"/>
      <c r="R371" s="72"/>
    </row>
    <row r="372" spans="1:18" x14ac:dyDescent="0.25">
      <c r="A372" s="84" t="s">
        <v>922</v>
      </c>
      <c r="B372" t="s">
        <v>1298</v>
      </c>
      <c r="C372" s="67" t="s">
        <v>3</v>
      </c>
      <c r="D372" s="67" t="s">
        <v>362</v>
      </c>
      <c r="E372" s="73" t="s">
        <v>686</v>
      </c>
      <c r="F372" t="s">
        <v>781</v>
      </c>
      <c r="G372" s="73" t="s">
        <v>935</v>
      </c>
      <c r="H372" t="s">
        <v>781</v>
      </c>
      <c r="I372" s="73" t="s">
        <v>383</v>
      </c>
      <c r="J372" s="73" t="s">
        <v>78</v>
      </c>
      <c r="K372"/>
      <c r="L372" t="s">
        <v>2108</v>
      </c>
      <c r="M372"/>
      <c r="N372" s="88" t="s">
        <v>2079</v>
      </c>
      <c r="O372" s="72"/>
      <c r="P372" s="72"/>
      <c r="Q372" s="72"/>
      <c r="R372" s="72"/>
    </row>
    <row r="373" spans="1:18" x14ac:dyDescent="0.25">
      <c r="A373" s="84" t="s">
        <v>922</v>
      </c>
      <c r="B373" t="s">
        <v>1298</v>
      </c>
      <c r="C373" s="67" t="s">
        <v>3</v>
      </c>
      <c r="D373" s="67" t="s">
        <v>362</v>
      </c>
      <c r="E373" s="73" t="s">
        <v>687</v>
      </c>
      <c r="F373" t="s">
        <v>782</v>
      </c>
      <c r="G373" s="73" t="s">
        <v>936</v>
      </c>
      <c r="H373" t="s">
        <v>782</v>
      </c>
      <c r="I373" s="73" t="s">
        <v>383</v>
      </c>
      <c r="J373" s="73" t="s">
        <v>78</v>
      </c>
      <c r="K373"/>
      <c r="L373" t="s">
        <v>2108</v>
      </c>
      <c r="M373"/>
      <c r="N373" s="88" t="s">
        <v>2079</v>
      </c>
      <c r="O373" s="72"/>
      <c r="P373" s="72"/>
      <c r="Q373" s="72"/>
      <c r="R373" s="72"/>
    </row>
    <row r="374" spans="1:18" x14ac:dyDescent="0.25">
      <c r="A374" s="84" t="s">
        <v>922</v>
      </c>
      <c r="B374" t="s">
        <v>1298</v>
      </c>
      <c r="C374" s="67" t="s">
        <v>3</v>
      </c>
      <c r="D374" s="67" t="s">
        <v>362</v>
      </c>
      <c r="E374" s="73" t="s">
        <v>689</v>
      </c>
      <c r="F374" t="s">
        <v>783</v>
      </c>
      <c r="G374" s="73" t="s">
        <v>937</v>
      </c>
      <c r="H374" t="s">
        <v>2037</v>
      </c>
      <c r="I374" s="73" t="s">
        <v>461</v>
      </c>
      <c r="J374" s="73" t="s">
        <v>78</v>
      </c>
      <c r="K374"/>
      <c r="L374" t="s">
        <v>2108</v>
      </c>
      <c r="M374"/>
      <c r="N374" s="88" t="s">
        <v>2079</v>
      </c>
      <c r="O374" s="72"/>
      <c r="P374" s="72"/>
      <c r="Q374" s="72"/>
      <c r="R374" s="72"/>
    </row>
    <row r="375" spans="1:18" x14ac:dyDescent="0.25">
      <c r="A375" s="84" t="s">
        <v>922</v>
      </c>
      <c r="B375" t="s">
        <v>1298</v>
      </c>
      <c r="C375" s="67" t="s">
        <v>3</v>
      </c>
      <c r="D375" s="67" t="s">
        <v>362</v>
      </c>
      <c r="E375" s="73" t="s">
        <v>690</v>
      </c>
      <c r="F375" t="s">
        <v>784</v>
      </c>
      <c r="G375" s="73" t="s">
        <v>938</v>
      </c>
      <c r="H375" t="s">
        <v>784</v>
      </c>
      <c r="I375" s="73" t="s">
        <v>383</v>
      </c>
      <c r="J375" s="73" t="s">
        <v>78</v>
      </c>
      <c r="K375"/>
      <c r="L375" t="s">
        <v>2108</v>
      </c>
      <c r="M375"/>
      <c r="N375" s="88" t="s">
        <v>2079</v>
      </c>
      <c r="O375" s="72"/>
      <c r="P375" s="72"/>
      <c r="Q375" s="72"/>
      <c r="R375" s="72"/>
    </row>
    <row r="376" spans="1:18" x14ac:dyDescent="0.25">
      <c r="A376" s="84" t="s">
        <v>922</v>
      </c>
      <c r="B376" t="s">
        <v>1298</v>
      </c>
      <c r="C376" s="67" t="s">
        <v>3</v>
      </c>
      <c r="D376" s="67" t="s">
        <v>362</v>
      </c>
      <c r="E376" s="73" t="s">
        <v>512</v>
      </c>
      <c r="F376" t="s">
        <v>2078</v>
      </c>
      <c r="G376" s="73" t="s">
        <v>984</v>
      </c>
      <c r="H376" t="s">
        <v>2087</v>
      </c>
      <c r="I376" s="73" t="s">
        <v>448</v>
      </c>
      <c r="J376" s="73" t="s">
        <v>78</v>
      </c>
      <c r="K376"/>
      <c r="L376" t="s">
        <v>2108</v>
      </c>
      <c r="M376"/>
      <c r="N376" s="88" t="s">
        <v>2079</v>
      </c>
      <c r="O376" s="72"/>
      <c r="P376" s="72"/>
      <c r="Q376" s="72"/>
      <c r="R376" s="72"/>
    </row>
    <row r="377" spans="1:18" x14ac:dyDescent="0.25">
      <c r="A377" s="84" t="s">
        <v>922</v>
      </c>
      <c r="B377" t="s">
        <v>1298</v>
      </c>
      <c r="C377" s="67" t="s">
        <v>3</v>
      </c>
      <c r="D377" s="67" t="s">
        <v>362</v>
      </c>
      <c r="E377" s="73" t="s">
        <v>514</v>
      </c>
      <c r="F377" t="s">
        <v>2078</v>
      </c>
      <c r="G377" s="73" t="s">
        <v>985</v>
      </c>
      <c r="H377" t="s">
        <v>2109</v>
      </c>
      <c r="I377" s="73" t="s">
        <v>448</v>
      </c>
      <c r="J377" s="73" t="s">
        <v>78</v>
      </c>
      <c r="K377"/>
      <c r="L377" t="s">
        <v>2108</v>
      </c>
      <c r="M377"/>
      <c r="N377" s="88" t="s">
        <v>2079</v>
      </c>
      <c r="O377" s="72"/>
      <c r="P377" s="72"/>
      <c r="Q377" s="72"/>
      <c r="R377" s="72"/>
    </row>
    <row r="378" spans="1:18" x14ac:dyDescent="0.25">
      <c r="A378" s="84" t="s">
        <v>1121</v>
      </c>
      <c r="B378" t="s">
        <v>1298</v>
      </c>
      <c r="C378" s="67" t="s">
        <v>3</v>
      </c>
      <c r="D378" s="67" t="s">
        <v>362</v>
      </c>
      <c r="E378" s="73" t="s">
        <v>377</v>
      </c>
      <c r="F378" t="s">
        <v>2113</v>
      </c>
      <c r="G378" s="73" t="s">
        <v>377</v>
      </c>
      <c r="H378" t="s">
        <v>2113</v>
      </c>
      <c r="I378" s="73" t="s">
        <v>383</v>
      </c>
      <c r="J378" s="73" t="s">
        <v>78</v>
      </c>
      <c r="K378"/>
      <c r="L378" t="s">
        <v>2113</v>
      </c>
      <c r="M378"/>
      <c r="N378" s="88" t="s">
        <v>2033</v>
      </c>
      <c r="O378" s="72"/>
      <c r="P378" s="72"/>
      <c r="Q378" s="72"/>
      <c r="R378" s="72"/>
    </row>
    <row r="379" spans="1:18" x14ac:dyDescent="0.25">
      <c r="A379" s="84" t="s">
        <v>1121</v>
      </c>
      <c r="B379" t="s">
        <v>1298</v>
      </c>
      <c r="C379" s="67" t="s">
        <v>3</v>
      </c>
      <c r="D379" s="67" t="s">
        <v>362</v>
      </c>
      <c r="E379" s="73" t="s">
        <v>998</v>
      </c>
      <c r="F379" t="s">
        <v>650</v>
      </c>
      <c r="G379" s="73" t="s">
        <v>998</v>
      </c>
      <c r="H379" t="s">
        <v>650</v>
      </c>
      <c r="I379" s="73" t="s">
        <v>383</v>
      </c>
      <c r="J379" s="73" t="s">
        <v>78</v>
      </c>
      <c r="K379"/>
      <c r="L379" t="s">
        <v>2113</v>
      </c>
      <c r="M379"/>
      <c r="N379" s="88" t="s">
        <v>2033</v>
      </c>
      <c r="O379" s="72"/>
      <c r="P379" s="72"/>
      <c r="Q379" s="72"/>
      <c r="R379" s="72"/>
    </row>
    <row r="380" spans="1:18" x14ac:dyDescent="0.25">
      <c r="A380" s="84" t="s">
        <v>1121</v>
      </c>
      <c r="B380" t="s">
        <v>1298</v>
      </c>
      <c r="C380" s="67" t="s">
        <v>3</v>
      </c>
      <c r="D380" s="67" t="s">
        <v>362</v>
      </c>
      <c r="E380" s="73" t="s">
        <v>999</v>
      </c>
      <c r="F380" t="s">
        <v>651</v>
      </c>
      <c r="G380" s="73" t="s">
        <v>999</v>
      </c>
      <c r="H380" t="s">
        <v>651</v>
      </c>
      <c r="I380" s="73" t="s">
        <v>383</v>
      </c>
      <c r="J380" s="73" t="s">
        <v>78</v>
      </c>
      <c r="K380"/>
      <c r="L380" t="s">
        <v>2113</v>
      </c>
      <c r="M380"/>
      <c r="N380" s="88" t="s">
        <v>2033</v>
      </c>
      <c r="O380" s="72"/>
      <c r="P380" s="72"/>
      <c r="Q380" s="72"/>
      <c r="R380" s="72"/>
    </row>
    <row r="381" spans="1:18" x14ac:dyDescent="0.25">
      <c r="A381" s="84" t="s">
        <v>1121</v>
      </c>
      <c r="B381" t="s">
        <v>1298</v>
      </c>
      <c r="C381" s="67" t="s">
        <v>3</v>
      </c>
      <c r="D381" s="67" t="s">
        <v>362</v>
      </c>
      <c r="E381" s="73" t="s">
        <v>1000</v>
      </c>
      <c r="F381" t="s">
        <v>652</v>
      </c>
      <c r="G381" s="73" t="s">
        <v>1000</v>
      </c>
      <c r="H381" t="s">
        <v>1335</v>
      </c>
      <c r="I381" s="73" t="s">
        <v>461</v>
      </c>
      <c r="J381" s="73" t="s">
        <v>78</v>
      </c>
      <c r="K381"/>
      <c r="L381" t="s">
        <v>2113</v>
      </c>
      <c r="M381"/>
      <c r="N381" s="88" t="s">
        <v>2033</v>
      </c>
      <c r="O381" s="72"/>
      <c r="P381" s="72"/>
      <c r="Q381" s="72"/>
      <c r="R381" s="72"/>
    </row>
    <row r="382" spans="1:18" x14ac:dyDescent="0.25">
      <c r="A382" s="84" t="s">
        <v>1121</v>
      </c>
      <c r="B382" t="s">
        <v>1298</v>
      </c>
      <c r="C382" s="67" t="s">
        <v>3</v>
      </c>
      <c r="D382" s="67" t="s">
        <v>362</v>
      </c>
      <c r="E382" s="73" t="s">
        <v>1001</v>
      </c>
      <c r="F382" t="s">
        <v>653</v>
      </c>
      <c r="G382" s="73" t="s">
        <v>1001</v>
      </c>
      <c r="H382" t="s">
        <v>653</v>
      </c>
      <c r="I382" s="73" t="s">
        <v>383</v>
      </c>
      <c r="J382" s="73" t="s">
        <v>78</v>
      </c>
      <c r="K382"/>
      <c r="L382" t="s">
        <v>2113</v>
      </c>
      <c r="M382"/>
      <c r="N382" s="88" t="s">
        <v>2033</v>
      </c>
      <c r="O382" s="72"/>
      <c r="P382" s="72"/>
      <c r="Q382" s="72"/>
      <c r="R382" s="72"/>
    </row>
    <row r="383" spans="1:18" x14ac:dyDescent="0.25">
      <c r="A383" s="84" t="s">
        <v>1121</v>
      </c>
      <c r="B383" t="s">
        <v>1298</v>
      </c>
      <c r="C383" s="67" t="s">
        <v>3</v>
      </c>
      <c r="D383" s="67" t="s">
        <v>362</v>
      </c>
      <c r="E383" s="73" t="s">
        <v>512</v>
      </c>
      <c r="F383" t="s">
        <v>2078</v>
      </c>
      <c r="G383" s="73" t="s">
        <v>1002</v>
      </c>
      <c r="H383" t="s">
        <v>2087</v>
      </c>
      <c r="I383" s="73" t="s">
        <v>448</v>
      </c>
      <c r="J383" s="73" t="s">
        <v>78</v>
      </c>
      <c r="K383"/>
      <c r="L383" t="s">
        <v>2113</v>
      </c>
      <c r="M383"/>
      <c r="N383" s="88" t="s">
        <v>2033</v>
      </c>
      <c r="O383" s="72"/>
      <c r="P383" s="72"/>
      <c r="Q383" s="72"/>
      <c r="R383" s="72"/>
    </row>
    <row r="384" spans="1:18" x14ac:dyDescent="0.25">
      <c r="A384" s="84" t="s">
        <v>1121</v>
      </c>
      <c r="B384" t="s">
        <v>1298</v>
      </c>
      <c r="C384" s="67" t="s">
        <v>3</v>
      </c>
      <c r="D384" s="67" t="s">
        <v>362</v>
      </c>
      <c r="E384" s="73" t="s">
        <v>514</v>
      </c>
      <c r="F384" t="s">
        <v>2078</v>
      </c>
      <c r="G384" s="73" t="s">
        <v>1003</v>
      </c>
      <c r="H384" t="s">
        <v>2114</v>
      </c>
      <c r="I384" s="73" t="s">
        <v>448</v>
      </c>
      <c r="J384" s="73" t="s">
        <v>78</v>
      </c>
      <c r="K384"/>
      <c r="L384" t="s">
        <v>2113</v>
      </c>
      <c r="M384"/>
      <c r="N384" s="88" t="s">
        <v>2033</v>
      </c>
      <c r="O384" s="72"/>
      <c r="P384" s="72"/>
      <c r="Q384" s="72"/>
      <c r="R384" s="72"/>
    </row>
    <row r="385" spans="1:14" x14ac:dyDescent="0.25">
      <c r="A385" s="84" t="s">
        <v>1122</v>
      </c>
      <c r="B385" t="s">
        <v>1298</v>
      </c>
      <c r="C385" s="14" t="s">
        <v>3</v>
      </c>
      <c r="D385" s="14" t="s">
        <v>362</v>
      </c>
      <c r="E385" s="2" t="s">
        <v>1052</v>
      </c>
      <c r="F385" t="s">
        <v>1973</v>
      </c>
      <c r="G385" s="2" t="s">
        <v>1437</v>
      </c>
      <c r="H385" t="s">
        <v>1973</v>
      </c>
      <c r="I385" s="2" t="s">
        <v>383</v>
      </c>
      <c r="J385" s="2" t="s">
        <v>78</v>
      </c>
      <c r="K385"/>
      <c r="L385" t="s">
        <v>1973</v>
      </c>
      <c r="M385"/>
      <c r="N385" s="51" t="s">
        <v>1438</v>
      </c>
    </row>
    <row r="386" spans="1:14" x14ac:dyDescent="0.25">
      <c r="A386" s="84" t="s">
        <v>1122</v>
      </c>
      <c r="B386" t="s">
        <v>1298</v>
      </c>
      <c r="C386" s="14" t="s">
        <v>3</v>
      </c>
      <c r="D386" s="14" t="s">
        <v>362</v>
      </c>
      <c r="E386" s="2" t="s">
        <v>1220</v>
      </c>
      <c r="F386" t="s">
        <v>1977</v>
      </c>
      <c r="G386" s="2" t="s">
        <v>1220</v>
      </c>
      <c r="H386" t="s">
        <v>1977</v>
      </c>
      <c r="I386" s="2" t="s">
        <v>383</v>
      </c>
      <c r="J386" s="2" t="s">
        <v>78</v>
      </c>
      <c r="K386"/>
      <c r="L386" t="s">
        <v>1973</v>
      </c>
      <c r="M386"/>
      <c r="N386" s="51" t="s">
        <v>1438</v>
      </c>
    </row>
    <row r="387" spans="1:14" x14ac:dyDescent="0.25">
      <c r="A387" s="84" t="s">
        <v>1122</v>
      </c>
      <c r="B387" t="s">
        <v>1298</v>
      </c>
      <c r="C387" s="14" t="s">
        <v>3</v>
      </c>
      <c r="D387" s="14" t="s">
        <v>362</v>
      </c>
      <c r="E387" s="2" t="s">
        <v>1223</v>
      </c>
      <c r="F387" t="s">
        <v>1978</v>
      </c>
      <c r="G387" s="2" t="s">
        <v>1440</v>
      </c>
      <c r="H387" t="s">
        <v>1978</v>
      </c>
      <c r="I387" s="2" t="s">
        <v>383</v>
      </c>
      <c r="J387" s="2" t="s">
        <v>78</v>
      </c>
      <c r="K387"/>
      <c r="L387" t="s">
        <v>1973</v>
      </c>
      <c r="M387"/>
      <c r="N387" s="104" t="s">
        <v>1439</v>
      </c>
    </row>
    <row r="388" spans="1:14" x14ac:dyDescent="0.25">
      <c r="A388" s="84" t="s">
        <v>1122</v>
      </c>
      <c r="B388" t="s">
        <v>1298</v>
      </c>
      <c r="C388" s="14" t="s">
        <v>3</v>
      </c>
      <c r="D388" s="14" t="s">
        <v>362</v>
      </c>
      <c r="E388" s="2" t="s">
        <v>1224</v>
      </c>
      <c r="F388" t="s">
        <v>1181</v>
      </c>
      <c r="G388" s="2" t="s">
        <v>1441</v>
      </c>
      <c r="H388" t="s">
        <v>1181</v>
      </c>
      <c r="I388" s="2" t="s">
        <v>383</v>
      </c>
      <c r="J388" s="2" t="s">
        <v>78</v>
      </c>
      <c r="K388"/>
      <c r="L388" t="s">
        <v>1973</v>
      </c>
      <c r="M388"/>
      <c r="N388" s="51" t="s">
        <v>1442</v>
      </c>
    </row>
    <row r="389" spans="1:14" x14ac:dyDescent="0.25">
      <c r="A389" s="84" t="s">
        <v>1122</v>
      </c>
      <c r="B389" t="s">
        <v>1298</v>
      </c>
      <c r="C389" s="14" t="s">
        <v>3</v>
      </c>
      <c r="D389" s="14" t="s">
        <v>362</v>
      </c>
      <c r="E389" s="2" t="s">
        <v>525</v>
      </c>
      <c r="F389" t="s">
        <v>1350</v>
      </c>
      <c r="G389" s="2" t="s">
        <v>1444</v>
      </c>
      <c r="H389" t="s">
        <v>1350</v>
      </c>
      <c r="I389" s="2" t="s">
        <v>383</v>
      </c>
      <c r="J389" s="2" t="s">
        <v>78</v>
      </c>
      <c r="K389"/>
      <c r="L389" t="s">
        <v>1973</v>
      </c>
      <c r="M389"/>
      <c r="N389" s="51" t="s">
        <v>1446</v>
      </c>
    </row>
    <row r="390" spans="1:14" x14ac:dyDescent="0.25">
      <c r="A390" s="84" t="s">
        <v>1122</v>
      </c>
      <c r="B390" t="s">
        <v>1298</v>
      </c>
      <c r="C390" s="14" t="s">
        <v>3</v>
      </c>
      <c r="D390" s="14" t="s">
        <v>362</v>
      </c>
      <c r="E390" s="2" t="s">
        <v>526</v>
      </c>
      <c r="F390" t="s">
        <v>1344</v>
      </c>
      <c r="G390" s="2" t="s">
        <v>1443</v>
      </c>
      <c r="H390" t="s">
        <v>1349</v>
      </c>
      <c r="I390" s="2" t="s">
        <v>1044</v>
      </c>
      <c r="J390" s="2" t="s">
        <v>78</v>
      </c>
      <c r="K390"/>
      <c r="L390" t="s">
        <v>1973</v>
      </c>
      <c r="M390"/>
      <c r="N390" s="51" t="s">
        <v>1446</v>
      </c>
    </row>
    <row r="391" spans="1:14" x14ac:dyDescent="0.25">
      <c r="A391" s="84" t="s">
        <v>1122</v>
      </c>
      <c r="B391" t="s">
        <v>1298</v>
      </c>
      <c r="C391" s="14" t="s">
        <v>3</v>
      </c>
      <c r="D391" s="14" t="s">
        <v>362</v>
      </c>
      <c r="E391" s="2" t="s">
        <v>613</v>
      </c>
      <c r="F391" t="s">
        <v>1979</v>
      </c>
      <c r="G391" s="2" t="s">
        <v>1445</v>
      </c>
      <c r="H391" t="s">
        <v>1980</v>
      </c>
      <c r="I391" s="2" t="s">
        <v>1044</v>
      </c>
      <c r="J391" s="2" t="s">
        <v>78</v>
      </c>
      <c r="K391"/>
      <c r="L391" t="s">
        <v>1973</v>
      </c>
      <c r="M391"/>
      <c r="N391" s="51" t="s">
        <v>1446</v>
      </c>
    </row>
    <row r="392" spans="1:14" x14ac:dyDescent="0.25">
      <c r="A392" s="84" t="s">
        <v>1123</v>
      </c>
      <c r="B392" t="s">
        <v>1298</v>
      </c>
      <c r="C392" s="14" t="s">
        <v>3</v>
      </c>
      <c r="D392" s="14" t="s">
        <v>362</v>
      </c>
      <c r="E392" s="2" t="s">
        <v>1052</v>
      </c>
      <c r="F392" t="s">
        <v>1993</v>
      </c>
      <c r="G392" s="2" t="s">
        <v>1437</v>
      </c>
      <c r="H392" t="s">
        <v>1993</v>
      </c>
      <c r="I392" s="2" t="s">
        <v>383</v>
      </c>
      <c r="J392" s="2" t="s">
        <v>78</v>
      </c>
      <c r="K392"/>
      <c r="L392" t="s">
        <v>1993</v>
      </c>
      <c r="M392"/>
      <c r="N392" s="51" t="s">
        <v>1438</v>
      </c>
    </row>
    <row r="393" spans="1:14" x14ac:dyDescent="0.25">
      <c r="A393" s="84" t="s">
        <v>1123</v>
      </c>
      <c r="B393" t="s">
        <v>1298</v>
      </c>
      <c r="C393" s="14" t="s">
        <v>3</v>
      </c>
      <c r="D393" s="14" t="s">
        <v>362</v>
      </c>
      <c r="E393" s="2" t="s">
        <v>1220</v>
      </c>
      <c r="F393" t="s">
        <v>1994</v>
      </c>
      <c r="G393" s="2" t="s">
        <v>1220</v>
      </c>
      <c r="H393" t="s">
        <v>1994</v>
      </c>
      <c r="I393" s="2" t="s">
        <v>383</v>
      </c>
      <c r="J393" s="2" t="s">
        <v>78</v>
      </c>
      <c r="K393"/>
      <c r="L393" t="s">
        <v>1993</v>
      </c>
      <c r="M393"/>
      <c r="N393" s="51" t="s">
        <v>1438</v>
      </c>
    </row>
    <row r="394" spans="1:14" x14ac:dyDescent="0.25">
      <c r="A394" s="84" t="s">
        <v>1123</v>
      </c>
      <c r="B394" t="s">
        <v>1298</v>
      </c>
      <c r="C394" s="14" t="s">
        <v>3</v>
      </c>
      <c r="D394" s="14" t="s">
        <v>362</v>
      </c>
      <c r="E394" s="2" t="s">
        <v>1223</v>
      </c>
      <c r="F394" t="s">
        <v>1978</v>
      </c>
      <c r="G394" s="2" t="s">
        <v>1440</v>
      </c>
      <c r="H394" t="s">
        <v>1978</v>
      </c>
      <c r="I394" s="2" t="s">
        <v>383</v>
      </c>
      <c r="J394" s="2" t="s">
        <v>78</v>
      </c>
      <c r="K394"/>
      <c r="L394" t="s">
        <v>1993</v>
      </c>
      <c r="M394"/>
      <c r="N394" s="51" t="s">
        <v>1439</v>
      </c>
    </row>
    <row r="395" spans="1:14" x14ac:dyDescent="0.25">
      <c r="A395" s="84" t="s">
        <v>1123</v>
      </c>
      <c r="B395" t="s">
        <v>1298</v>
      </c>
      <c r="C395" s="14" t="s">
        <v>3</v>
      </c>
      <c r="D395" s="14" t="s">
        <v>362</v>
      </c>
      <c r="E395" s="2" t="s">
        <v>1224</v>
      </c>
      <c r="F395" t="s">
        <v>1981</v>
      </c>
      <c r="G395" s="2" t="s">
        <v>1441</v>
      </c>
      <c r="H395" t="s">
        <v>1981</v>
      </c>
      <c r="I395" s="2" t="s">
        <v>383</v>
      </c>
      <c r="J395" s="2" t="s">
        <v>78</v>
      </c>
      <c r="K395"/>
      <c r="L395" t="s">
        <v>1993</v>
      </c>
      <c r="M395"/>
      <c r="N395" s="51" t="s">
        <v>1442</v>
      </c>
    </row>
    <row r="396" spans="1:14" x14ac:dyDescent="0.25">
      <c r="A396" s="84" t="s">
        <v>1123</v>
      </c>
      <c r="B396" t="s">
        <v>1298</v>
      </c>
      <c r="C396" s="14" t="s">
        <v>3</v>
      </c>
      <c r="D396" s="14" t="s">
        <v>362</v>
      </c>
      <c r="E396" s="2" t="s">
        <v>525</v>
      </c>
      <c r="F396" t="s">
        <v>1477</v>
      </c>
      <c r="G396" s="2" t="s">
        <v>1444</v>
      </c>
      <c r="H396" t="s">
        <v>1477</v>
      </c>
      <c r="I396" s="2" t="s">
        <v>383</v>
      </c>
      <c r="J396" s="2" t="s">
        <v>78</v>
      </c>
      <c r="K396"/>
      <c r="L396" t="s">
        <v>1993</v>
      </c>
      <c r="M396"/>
      <c r="N396" s="51" t="s">
        <v>1461</v>
      </c>
    </row>
    <row r="397" spans="1:14" x14ac:dyDescent="0.25">
      <c r="A397" s="84" t="s">
        <v>1123</v>
      </c>
      <c r="B397" t="s">
        <v>1298</v>
      </c>
      <c r="C397" s="14" t="s">
        <v>3</v>
      </c>
      <c r="D397" s="14" t="s">
        <v>362</v>
      </c>
      <c r="E397" s="2" t="s">
        <v>526</v>
      </c>
      <c r="F397" t="s">
        <v>1344</v>
      </c>
      <c r="G397" s="2" t="s">
        <v>1443</v>
      </c>
      <c r="H397" t="s">
        <v>1349</v>
      </c>
      <c r="I397" s="2" t="s">
        <v>1044</v>
      </c>
      <c r="J397" s="2" t="s">
        <v>78</v>
      </c>
      <c r="K397"/>
      <c r="L397" t="s">
        <v>1993</v>
      </c>
      <c r="M397"/>
      <c r="N397" s="51" t="s">
        <v>1461</v>
      </c>
    </row>
    <row r="398" spans="1:14" x14ac:dyDescent="0.25">
      <c r="A398" s="84" t="s">
        <v>1123</v>
      </c>
      <c r="B398" t="s">
        <v>1298</v>
      </c>
      <c r="C398" s="14" t="s">
        <v>3</v>
      </c>
      <c r="D398" s="14" t="s">
        <v>362</v>
      </c>
      <c r="E398" s="2" t="s">
        <v>613</v>
      </c>
      <c r="F398" t="s">
        <v>1996</v>
      </c>
      <c r="G398" s="2" t="s">
        <v>1445</v>
      </c>
      <c r="H398" t="s">
        <v>1997</v>
      </c>
      <c r="I398" s="2" t="s">
        <v>1044</v>
      </c>
      <c r="J398" s="2" t="s">
        <v>78</v>
      </c>
      <c r="K398"/>
      <c r="L398" t="s">
        <v>1993</v>
      </c>
      <c r="M398"/>
      <c r="N398" s="51" t="s">
        <v>1461</v>
      </c>
    </row>
    <row r="399" spans="1:14" x14ac:dyDescent="0.25">
      <c r="A399" s="84" t="s">
        <v>1157</v>
      </c>
      <c r="B399" t="s">
        <v>1298</v>
      </c>
      <c r="C399" s="14" t="s">
        <v>3</v>
      </c>
      <c r="D399" s="14" t="s">
        <v>362</v>
      </c>
      <c r="E399" s="2" t="s">
        <v>1052</v>
      </c>
      <c r="F399" t="s">
        <v>1999</v>
      </c>
      <c r="G399" s="2" t="s">
        <v>78</v>
      </c>
      <c r="H399" t="s">
        <v>1999</v>
      </c>
      <c r="I399" s="2" t="s">
        <v>383</v>
      </c>
      <c r="J399" s="2" t="s">
        <v>78</v>
      </c>
      <c r="K399"/>
      <c r="L399" t="s">
        <v>1999</v>
      </c>
      <c r="M399"/>
      <c r="N399" s="51" t="s">
        <v>1497</v>
      </c>
    </row>
    <row r="400" spans="1:14" x14ac:dyDescent="0.25">
      <c r="A400" s="84" t="s">
        <v>1157</v>
      </c>
      <c r="B400" t="s">
        <v>1298</v>
      </c>
      <c r="C400" s="14" t="s">
        <v>3</v>
      </c>
      <c r="D400" s="14" t="s">
        <v>362</v>
      </c>
      <c r="E400" s="2" t="s">
        <v>1225</v>
      </c>
      <c r="F400" t="s">
        <v>308</v>
      </c>
      <c r="G400" s="2" t="s">
        <v>1226</v>
      </c>
      <c r="H400" t="s">
        <v>1342</v>
      </c>
      <c r="I400" s="2" t="s">
        <v>1044</v>
      </c>
      <c r="J400" s="2" t="s">
        <v>78</v>
      </c>
      <c r="K400"/>
      <c r="L400" t="s">
        <v>1999</v>
      </c>
      <c r="M400"/>
      <c r="N400" s="51" t="s">
        <v>1497</v>
      </c>
    </row>
    <row r="401" spans="1:14" x14ac:dyDescent="0.25">
      <c r="A401" s="84" t="s">
        <v>1157</v>
      </c>
      <c r="B401" t="s">
        <v>1298</v>
      </c>
      <c r="C401" s="14" t="s">
        <v>3</v>
      </c>
      <c r="D401" s="14" t="s">
        <v>362</v>
      </c>
      <c r="E401" s="2" t="s">
        <v>1223</v>
      </c>
      <c r="F401" t="s">
        <v>1978</v>
      </c>
      <c r="G401" s="2" t="s">
        <v>1440</v>
      </c>
      <c r="H401" t="s">
        <v>1978</v>
      </c>
      <c r="I401" s="2" t="s">
        <v>383</v>
      </c>
      <c r="J401" s="2" t="s">
        <v>78</v>
      </c>
      <c r="K401"/>
      <c r="L401" t="s">
        <v>1999</v>
      </c>
      <c r="M401"/>
      <c r="N401" s="51" t="s">
        <v>1439</v>
      </c>
    </row>
    <row r="402" spans="1:14" x14ac:dyDescent="0.25">
      <c r="A402" s="84" t="s">
        <v>1157</v>
      </c>
      <c r="B402" t="s">
        <v>1312</v>
      </c>
      <c r="C402" s="14" t="s">
        <v>3</v>
      </c>
      <c r="D402" s="14" t="s">
        <v>362</v>
      </c>
      <c r="E402" s="2" t="s">
        <v>1224</v>
      </c>
      <c r="F402" t="s">
        <v>2000</v>
      </c>
      <c r="G402" s="2" t="s">
        <v>1441</v>
      </c>
      <c r="H402" t="s">
        <v>1982</v>
      </c>
      <c r="I402" s="2" t="s">
        <v>383</v>
      </c>
      <c r="J402" s="2" t="s">
        <v>78</v>
      </c>
      <c r="K402"/>
      <c r="L402" t="s">
        <v>1999</v>
      </c>
      <c r="M402"/>
      <c r="N402" s="51" t="s">
        <v>1442</v>
      </c>
    </row>
    <row r="403" spans="1:14" x14ac:dyDescent="0.25">
      <c r="A403" s="84" t="s">
        <v>1157</v>
      </c>
      <c r="B403" t="s">
        <v>1298</v>
      </c>
      <c r="C403" s="14" t="s">
        <v>3</v>
      </c>
      <c r="D403" s="14" t="s">
        <v>362</v>
      </c>
      <c r="E403" s="2" t="s">
        <v>525</v>
      </c>
      <c r="F403" t="s">
        <v>1477</v>
      </c>
      <c r="G403" s="2" t="s">
        <v>1444</v>
      </c>
      <c r="H403" t="s">
        <v>1477</v>
      </c>
      <c r="I403" s="2" t="s">
        <v>383</v>
      </c>
      <c r="J403" s="2" t="s">
        <v>78</v>
      </c>
      <c r="K403"/>
      <c r="L403" t="s">
        <v>1999</v>
      </c>
      <c r="M403"/>
      <c r="N403" s="51" t="s">
        <v>1461</v>
      </c>
    </row>
    <row r="404" spans="1:14" x14ac:dyDescent="0.25">
      <c r="A404" s="84" t="s">
        <v>1157</v>
      </c>
      <c r="B404" t="s">
        <v>1298</v>
      </c>
      <c r="C404" s="14" t="s">
        <v>3</v>
      </c>
      <c r="D404" s="14" t="s">
        <v>362</v>
      </c>
      <c r="E404" s="2" t="s">
        <v>526</v>
      </c>
      <c r="F404" t="s">
        <v>1344</v>
      </c>
      <c r="G404" s="2" t="s">
        <v>1443</v>
      </c>
      <c r="H404" t="s">
        <v>1349</v>
      </c>
      <c r="I404" s="2" t="s">
        <v>1044</v>
      </c>
      <c r="J404" s="2" t="s">
        <v>78</v>
      </c>
      <c r="K404"/>
      <c r="L404" t="s">
        <v>1999</v>
      </c>
      <c r="M404"/>
      <c r="N404" s="51" t="s">
        <v>1461</v>
      </c>
    </row>
    <row r="405" spans="1:14" x14ac:dyDescent="0.25">
      <c r="A405" s="84" t="s">
        <v>1157</v>
      </c>
      <c r="B405" t="s">
        <v>1298</v>
      </c>
      <c r="C405" s="14" t="s">
        <v>3</v>
      </c>
      <c r="D405" s="14" t="s">
        <v>362</v>
      </c>
      <c r="E405" s="2" t="s">
        <v>613</v>
      </c>
      <c r="F405" t="s">
        <v>2001</v>
      </c>
      <c r="G405" s="2" t="s">
        <v>1445</v>
      </c>
      <c r="H405" t="s">
        <v>2002</v>
      </c>
      <c r="I405" s="2" t="s">
        <v>1044</v>
      </c>
      <c r="J405" s="2" t="s">
        <v>78</v>
      </c>
      <c r="K405"/>
      <c r="L405" t="s">
        <v>1999</v>
      </c>
      <c r="M405"/>
      <c r="N405" s="51" t="s">
        <v>1461</v>
      </c>
    </row>
    <row r="406" spans="1:14" x14ac:dyDescent="0.25">
      <c r="A406" s="84" t="s">
        <v>1163</v>
      </c>
      <c r="B406" t="s">
        <v>1298</v>
      </c>
      <c r="C406" s="14" t="s">
        <v>3</v>
      </c>
      <c r="D406" s="14" t="s">
        <v>362</v>
      </c>
      <c r="E406" s="2" t="s">
        <v>1052</v>
      </c>
      <c r="F406" t="s">
        <v>2008</v>
      </c>
      <c r="G406" s="2" t="s">
        <v>1437</v>
      </c>
      <c r="H406" t="s">
        <v>2008</v>
      </c>
      <c r="I406" s="2" t="s">
        <v>383</v>
      </c>
      <c r="J406" s="2" t="s">
        <v>78</v>
      </c>
      <c r="K406"/>
      <c r="L406" t="s">
        <v>2008</v>
      </c>
      <c r="M406"/>
      <c r="N406" s="51" t="s">
        <v>1438</v>
      </c>
    </row>
    <row r="407" spans="1:14" x14ac:dyDescent="0.25">
      <c r="A407" s="84" t="s">
        <v>1163</v>
      </c>
      <c r="B407" t="s">
        <v>1298</v>
      </c>
      <c r="C407" s="14" t="s">
        <v>3</v>
      </c>
      <c r="D407" s="14" t="s">
        <v>362</v>
      </c>
      <c r="E407" s="2" t="s">
        <v>1220</v>
      </c>
      <c r="F407" t="s">
        <v>2009</v>
      </c>
      <c r="G407" s="2" t="s">
        <v>1220</v>
      </c>
      <c r="H407" t="s">
        <v>2009</v>
      </c>
      <c r="I407" s="2" t="s">
        <v>383</v>
      </c>
      <c r="J407" s="2" t="s">
        <v>78</v>
      </c>
      <c r="K407"/>
      <c r="L407" t="s">
        <v>2008</v>
      </c>
      <c r="M407"/>
      <c r="N407" s="51" t="s">
        <v>1438</v>
      </c>
    </row>
    <row r="408" spans="1:14" x14ac:dyDescent="0.25">
      <c r="A408" s="84" t="s">
        <v>1163</v>
      </c>
      <c r="B408" t="s">
        <v>1298</v>
      </c>
      <c r="C408" s="14" t="s">
        <v>3</v>
      </c>
      <c r="D408" s="14" t="s">
        <v>362</v>
      </c>
      <c r="E408" s="2" t="s">
        <v>2006</v>
      </c>
      <c r="F408" t="s">
        <v>308</v>
      </c>
      <c r="G408" s="2" t="s">
        <v>1519</v>
      </c>
      <c r="H408" t="s">
        <v>1342</v>
      </c>
      <c r="I408" s="2" t="s">
        <v>1044</v>
      </c>
      <c r="J408" s="2" t="s">
        <v>78</v>
      </c>
      <c r="L408" t="s">
        <v>2008</v>
      </c>
      <c r="N408" s="42" t="s">
        <v>1520</v>
      </c>
    </row>
    <row r="409" spans="1:14" x14ac:dyDescent="0.25">
      <c r="A409" s="84" t="s">
        <v>1163</v>
      </c>
      <c r="B409" t="s">
        <v>1298</v>
      </c>
      <c r="C409" s="14" t="s">
        <v>3</v>
      </c>
      <c r="D409" s="14" t="s">
        <v>362</v>
      </c>
      <c r="E409" s="2" t="s">
        <v>1223</v>
      </c>
      <c r="F409" t="s">
        <v>1978</v>
      </c>
      <c r="G409" s="2" t="s">
        <v>1440</v>
      </c>
      <c r="H409" t="s">
        <v>1978</v>
      </c>
      <c r="I409" s="2" t="s">
        <v>383</v>
      </c>
      <c r="J409" s="2" t="s">
        <v>78</v>
      </c>
      <c r="K409"/>
      <c r="L409" t="s">
        <v>2008</v>
      </c>
      <c r="M409"/>
      <c r="N409" s="104" t="s">
        <v>1439</v>
      </c>
    </row>
    <row r="410" spans="1:14" x14ac:dyDescent="0.25">
      <c r="A410" s="84" t="s">
        <v>1163</v>
      </c>
      <c r="B410" t="s">
        <v>1298</v>
      </c>
      <c r="C410" s="14" t="s">
        <v>3</v>
      </c>
      <c r="D410" s="14" t="s">
        <v>362</v>
      </c>
      <c r="E410" s="2" t="s">
        <v>1224</v>
      </c>
      <c r="F410" t="s">
        <v>1983</v>
      </c>
      <c r="G410" s="2" t="s">
        <v>1441</v>
      </c>
      <c r="H410" t="s">
        <v>1983</v>
      </c>
      <c r="I410" s="2" t="s">
        <v>383</v>
      </c>
      <c r="J410" s="2" t="s">
        <v>78</v>
      </c>
      <c r="K410"/>
      <c r="L410" t="s">
        <v>2008</v>
      </c>
      <c r="M410"/>
      <c r="N410" s="51" t="s">
        <v>1442</v>
      </c>
    </row>
    <row r="411" spans="1:14" x14ac:dyDescent="0.25">
      <c r="A411" s="84" t="s">
        <v>1163</v>
      </c>
      <c r="B411" t="s">
        <v>1298</v>
      </c>
      <c r="C411" s="14" t="s">
        <v>3</v>
      </c>
      <c r="D411" s="14" t="s">
        <v>362</v>
      </c>
      <c r="E411" s="2" t="s">
        <v>525</v>
      </c>
      <c r="F411" t="s">
        <v>1477</v>
      </c>
      <c r="G411" s="2" t="s">
        <v>1444</v>
      </c>
      <c r="H411" t="s">
        <v>1477</v>
      </c>
      <c r="I411" s="2" t="s">
        <v>383</v>
      </c>
      <c r="J411" s="2" t="s">
        <v>78</v>
      </c>
      <c r="K411"/>
      <c r="L411" t="s">
        <v>2008</v>
      </c>
      <c r="M411"/>
      <c r="N411" s="51" t="s">
        <v>1461</v>
      </c>
    </row>
    <row r="412" spans="1:14" x14ac:dyDescent="0.25">
      <c r="A412" s="84" t="s">
        <v>1163</v>
      </c>
      <c r="B412" t="s">
        <v>1298</v>
      </c>
      <c r="C412" s="14" t="s">
        <v>3</v>
      </c>
      <c r="D412" s="14" t="s">
        <v>362</v>
      </c>
      <c r="E412" s="2" t="s">
        <v>526</v>
      </c>
      <c r="F412" t="s">
        <v>1344</v>
      </c>
      <c r="G412" s="2" t="s">
        <v>1443</v>
      </c>
      <c r="H412" t="s">
        <v>1349</v>
      </c>
      <c r="I412" s="2" t="s">
        <v>1044</v>
      </c>
      <c r="J412" s="2" t="s">
        <v>78</v>
      </c>
      <c r="K412"/>
      <c r="L412" t="s">
        <v>2008</v>
      </c>
      <c r="M412"/>
      <c r="N412" s="51" t="s">
        <v>1461</v>
      </c>
    </row>
    <row r="413" spans="1:14" x14ac:dyDescent="0.25">
      <c r="A413" s="84" t="s">
        <v>1164</v>
      </c>
      <c r="B413" t="s">
        <v>1298</v>
      </c>
      <c r="C413" s="14" t="s">
        <v>3</v>
      </c>
      <c r="D413" s="14" t="s">
        <v>362</v>
      </c>
      <c r="E413" s="2" t="s">
        <v>1052</v>
      </c>
      <c r="F413" t="s">
        <v>2011</v>
      </c>
      <c r="G413" s="2" t="s">
        <v>1220</v>
      </c>
      <c r="H413" t="s">
        <v>2013</v>
      </c>
      <c r="I413" s="2" t="s">
        <v>1044</v>
      </c>
      <c r="J413" s="2" t="s">
        <v>78</v>
      </c>
      <c r="K413"/>
      <c r="L413" t="s">
        <v>2011</v>
      </c>
      <c r="M413"/>
      <c r="N413" s="51" t="s">
        <v>1438</v>
      </c>
    </row>
    <row r="414" spans="1:14" x14ac:dyDescent="0.25">
      <c r="A414" s="84" t="s">
        <v>1164</v>
      </c>
      <c r="B414" t="s">
        <v>1298</v>
      </c>
      <c r="C414" s="14" t="s">
        <v>3</v>
      </c>
      <c r="D414" s="14" t="s">
        <v>362</v>
      </c>
      <c r="E414" s="2" t="s">
        <v>1052</v>
      </c>
      <c r="F414" t="s">
        <v>2011</v>
      </c>
      <c r="G414" s="2" t="s">
        <v>1440</v>
      </c>
      <c r="H414" t="s">
        <v>1435</v>
      </c>
      <c r="I414" s="2" t="s">
        <v>1044</v>
      </c>
      <c r="J414" s="2" t="s">
        <v>78</v>
      </c>
      <c r="K414"/>
      <c r="L414" t="s">
        <v>2011</v>
      </c>
      <c r="M414"/>
      <c r="N414" s="104" t="s">
        <v>1439</v>
      </c>
    </row>
    <row r="415" spans="1:14" x14ac:dyDescent="0.25">
      <c r="A415" s="84" t="s">
        <v>1164</v>
      </c>
      <c r="B415" t="s">
        <v>1298</v>
      </c>
      <c r="C415" s="14" t="s">
        <v>3</v>
      </c>
      <c r="D415" s="14" t="s">
        <v>362</v>
      </c>
      <c r="E415" s="2" t="s">
        <v>1052</v>
      </c>
      <c r="F415" t="s">
        <v>2011</v>
      </c>
      <c r="G415" s="2" t="s">
        <v>1441</v>
      </c>
      <c r="H415" t="s">
        <v>1984</v>
      </c>
      <c r="I415" s="2" t="s">
        <v>1044</v>
      </c>
      <c r="J415" s="2" t="s">
        <v>78</v>
      </c>
      <c r="K415"/>
      <c r="L415" t="s">
        <v>2011</v>
      </c>
      <c r="M415"/>
      <c r="N415" s="51" t="s">
        <v>1442</v>
      </c>
    </row>
    <row r="416" spans="1:14" x14ac:dyDescent="0.25">
      <c r="A416" s="84" t="s">
        <v>1164</v>
      </c>
      <c r="B416" t="s">
        <v>1298</v>
      </c>
      <c r="C416" s="14" t="s">
        <v>3</v>
      </c>
      <c r="D416" s="14" t="s">
        <v>362</v>
      </c>
      <c r="E416" s="2" t="s">
        <v>525</v>
      </c>
      <c r="F416" t="s">
        <v>1319</v>
      </c>
      <c r="G416" s="2" t="s">
        <v>1444</v>
      </c>
      <c r="H416" t="s">
        <v>1319</v>
      </c>
      <c r="I416" s="2" t="s">
        <v>383</v>
      </c>
      <c r="J416" s="2" t="s">
        <v>78</v>
      </c>
      <c r="K416"/>
      <c r="L416" t="s">
        <v>2011</v>
      </c>
      <c r="M416"/>
      <c r="N416" s="51" t="s">
        <v>1571</v>
      </c>
    </row>
    <row r="417" spans="1:14" x14ac:dyDescent="0.25">
      <c r="A417" s="84" t="s">
        <v>1164</v>
      </c>
      <c r="B417" t="s">
        <v>1298</v>
      </c>
      <c r="C417" s="14" t="s">
        <v>3</v>
      </c>
      <c r="D417" s="14" t="s">
        <v>362</v>
      </c>
      <c r="E417" s="2" t="s">
        <v>526</v>
      </c>
      <c r="F417" t="s">
        <v>1344</v>
      </c>
      <c r="G417" s="2" t="s">
        <v>1443</v>
      </c>
      <c r="H417" t="s">
        <v>1349</v>
      </c>
      <c r="I417" s="2" t="s">
        <v>1044</v>
      </c>
      <c r="J417" s="2" t="s">
        <v>78</v>
      </c>
      <c r="K417"/>
      <c r="L417" t="s">
        <v>2011</v>
      </c>
      <c r="M417"/>
      <c r="N417" s="51" t="s">
        <v>1571</v>
      </c>
    </row>
    <row r="418" spans="1:14" x14ac:dyDescent="0.25">
      <c r="A418" s="84" t="s">
        <v>1164</v>
      </c>
      <c r="B418" t="s">
        <v>1298</v>
      </c>
      <c r="C418" s="14" t="s">
        <v>3</v>
      </c>
      <c r="D418" s="14" t="s">
        <v>362</v>
      </c>
      <c r="E418" s="2" t="s">
        <v>613</v>
      </c>
      <c r="F418" t="s">
        <v>2012</v>
      </c>
      <c r="G418" s="2" t="s">
        <v>1445</v>
      </c>
      <c r="H418" t="s">
        <v>2014</v>
      </c>
      <c r="I418" s="2" t="s">
        <v>1044</v>
      </c>
      <c r="J418" s="2" t="s">
        <v>78</v>
      </c>
      <c r="K418"/>
      <c r="L418" t="s">
        <v>2011</v>
      </c>
      <c r="M418"/>
      <c r="N418" s="51" t="s">
        <v>1571</v>
      </c>
    </row>
    <row r="419" spans="1:14" x14ac:dyDescent="0.25">
      <c r="A419" s="84" t="s">
        <v>1165</v>
      </c>
      <c r="B419" t="s">
        <v>1298</v>
      </c>
      <c r="C419" s="14" t="s">
        <v>3</v>
      </c>
      <c r="D419" s="14" t="s">
        <v>362</v>
      </c>
      <c r="E419" s="2" t="s">
        <v>1052</v>
      </c>
      <c r="F419" t="s">
        <v>1433</v>
      </c>
      <c r="G419" s="2" t="s">
        <v>1437</v>
      </c>
      <c r="H419" t="s">
        <v>1433</v>
      </c>
      <c r="I419" s="2" t="s">
        <v>383</v>
      </c>
      <c r="J419" s="2" t="s">
        <v>78</v>
      </c>
      <c r="K419"/>
      <c r="L419" t="s">
        <v>1433</v>
      </c>
      <c r="M419"/>
      <c r="N419" s="51" t="s">
        <v>1438</v>
      </c>
    </row>
    <row r="420" spans="1:14" x14ac:dyDescent="0.25">
      <c r="A420" s="84" t="s">
        <v>1165</v>
      </c>
      <c r="B420" t="s">
        <v>1298</v>
      </c>
      <c r="C420" s="14" t="s">
        <v>3</v>
      </c>
      <c r="D420" s="14" t="s">
        <v>362</v>
      </c>
      <c r="E420" s="2" t="s">
        <v>1220</v>
      </c>
      <c r="F420" t="s">
        <v>1434</v>
      </c>
      <c r="G420" s="2" t="s">
        <v>1220</v>
      </c>
      <c r="H420" t="s">
        <v>1434</v>
      </c>
      <c r="I420" s="2" t="s">
        <v>383</v>
      </c>
      <c r="J420" s="2" t="s">
        <v>78</v>
      </c>
      <c r="K420"/>
      <c r="L420" t="s">
        <v>1433</v>
      </c>
      <c r="M420"/>
      <c r="N420" s="51" t="s">
        <v>1438</v>
      </c>
    </row>
    <row r="421" spans="1:14" x14ac:dyDescent="0.25">
      <c r="A421" s="84" t="s">
        <v>1165</v>
      </c>
      <c r="B421" t="s">
        <v>1298</v>
      </c>
      <c r="C421" s="14" t="s">
        <v>3</v>
      </c>
      <c r="D421" s="14" t="s">
        <v>362</v>
      </c>
      <c r="E421" s="2" t="s">
        <v>1223</v>
      </c>
      <c r="F421" t="s">
        <v>1435</v>
      </c>
      <c r="G421" s="2" t="s">
        <v>1440</v>
      </c>
      <c r="H421" t="s">
        <v>1435</v>
      </c>
      <c r="I421" s="2" t="s">
        <v>383</v>
      </c>
      <c r="J421" s="2" t="s">
        <v>78</v>
      </c>
      <c r="K421"/>
      <c r="L421" t="s">
        <v>1433</v>
      </c>
      <c r="M421"/>
      <c r="N421" s="104" t="s">
        <v>1439</v>
      </c>
    </row>
    <row r="422" spans="1:14" x14ac:dyDescent="0.25">
      <c r="A422" s="84" t="s">
        <v>1165</v>
      </c>
      <c r="B422" t="s">
        <v>1298</v>
      </c>
      <c r="C422" s="14" t="s">
        <v>3</v>
      </c>
      <c r="D422" s="14" t="s">
        <v>362</v>
      </c>
      <c r="E422" s="2" t="s">
        <v>1224</v>
      </c>
      <c r="F422" t="s">
        <v>1280</v>
      </c>
      <c r="G422" s="2" t="s">
        <v>1441</v>
      </c>
      <c r="H422" t="s">
        <v>1280</v>
      </c>
      <c r="I422" s="2" t="s">
        <v>383</v>
      </c>
      <c r="J422" s="2" t="s">
        <v>78</v>
      </c>
      <c r="K422"/>
      <c r="L422" t="s">
        <v>1433</v>
      </c>
      <c r="M422"/>
      <c r="N422" s="51" t="s">
        <v>1442</v>
      </c>
    </row>
    <row r="423" spans="1:14" x14ac:dyDescent="0.25">
      <c r="A423" s="84" t="s">
        <v>1165</v>
      </c>
      <c r="B423" t="s">
        <v>1298</v>
      </c>
      <c r="C423" s="14" t="s">
        <v>3</v>
      </c>
      <c r="D423" s="14" t="s">
        <v>362</v>
      </c>
      <c r="E423" s="2" t="s">
        <v>525</v>
      </c>
      <c r="F423" t="s">
        <v>1350</v>
      </c>
      <c r="G423" s="2" t="s">
        <v>1444</v>
      </c>
      <c r="H423" t="s">
        <v>1350</v>
      </c>
      <c r="I423" s="2" t="s">
        <v>383</v>
      </c>
      <c r="J423" s="2" t="s">
        <v>78</v>
      </c>
      <c r="K423"/>
      <c r="L423" t="s">
        <v>1433</v>
      </c>
      <c r="M423"/>
      <c r="N423" s="51" t="s">
        <v>1446</v>
      </c>
    </row>
    <row r="424" spans="1:14" x14ac:dyDescent="0.25">
      <c r="A424" s="84" t="s">
        <v>1165</v>
      </c>
      <c r="B424" t="s">
        <v>1298</v>
      </c>
      <c r="C424" s="14" t="s">
        <v>3</v>
      </c>
      <c r="D424" s="14" t="s">
        <v>362</v>
      </c>
      <c r="E424" s="2" t="s">
        <v>526</v>
      </c>
      <c r="F424" t="s">
        <v>1344</v>
      </c>
      <c r="G424" s="2" t="s">
        <v>1443</v>
      </c>
      <c r="H424" t="s">
        <v>1349</v>
      </c>
      <c r="I424" s="2" t="s">
        <v>1044</v>
      </c>
      <c r="J424" s="2" t="s">
        <v>78</v>
      </c>
      <c r="K424"/>
      <c r="L424" t="s">
        <v>1433</v>
      </c>
      <c r="M424"/>
      <c r="N424" s="51" t="s">
        <v>1446</v>
      </c>
    </row>
    <row r="425" spans="1:14" x14ac:dyDescent="0.25">
      <c r="A425" s="84" t="s">
        <v>1165</v>
      </c>
      <c r="B425" t="s">
        <v>1298</v>
      </c>
      <c r="C425" s="14" t="s">
        <v>3</v>
      </c>
      <c r="D425" s="14" t="s">
        <v>362</v>
      </c>
      <c r="E425" s="2" t="s">
        <v>613</v>
      </c>
      <c r="F425" t="s">
        <v>1436</v>
      </c>
      <c r="G425" s="2" t="s">
        <v>1445</v>
      </c>
      <c r="H425" t="s">
        <v>1447</v>
      </c>
      <c r="I425" s="2" t="s">
        <v>1044</v>
      </c>
      <c r="J425" s="2" t="s">
        <v>78</v>
      </c>
      <c r="K425"/>
      <c r="L425" t="s">
        <v>1433</v>
      </c>
      <c r="M425"/>
      <c r="N425" s="51" t="s">
        <v>1446</v>
      </c>
    </row>
    <row r="426" spans="1:14" x14ac:dyDescent="0.25">
      <c r="A426" s="84" t="s">
        <v>1166</v>
      </c>
      <c r="B426" t="s">
        <v>1298</v>
      </c>
      <c r="C426" s="14" t="s">
        <v>3</v>
      </c>
      <c r="D426" s="14" t="s">
        <v>362</v>
      </c>
      <c r="E426" s="2" t="s">
        <v>1052</v>
      </c>
      <c r="F426" t="s">
        <v>1470</v>
      </c>
      <c r="G426" s="2" t="s">
        <v>1437</v>
      </c>
      <c r="H426" t="s">
        <v>1470</v>
      </c>
      <c r="I426" s="2" t="s">
        <v>383</v>
      </c>
      <c r="J426" s="2" t="s">
        <v>78</v>
      </c>
      <c r="K426"/>
      <c r="L426" t="s">
        <v>1470</v>
      </c>
      <c r="M426"/>
      <c r="N426" s="51" t="s">
        <v>1438</v>
      </c>
    </row>
    <row r="427" spans="1:14" x14ac:dyDescent="0.25">
      <c r="A427" s="84" t="s">
        <v>1166</v>
      </c>
      <c r="B427" t="s">
        <v>1298</v>
      </c>
      <c r="C427" s="14" t="s">
        <v>3</v>
      </c>
      <c r="D427" s="14" t="s">
        <v>362</v>
      </c>
      <c r="E427" s="2" t="s">
        <v>1220</v>
      </c>
      <c r="F427" t="s">
        <v>1471</v>
      </c>
      <c r="G427" s="2" t="s">
        <v>1220</v>
      </c>
      <c r="H427" t="s">
        <v>1471</v>
      </c>
      <c r="I427" s="2" t="s">
        <v>383</v>
      </c>
      <c r="J427" s="2" t="s">
        <v>78</v>
      </c>
      <c r="K427"/>
      <c r="L427" t="s">
        <v>1470</v>
      </c>
      <c r="M427"/>
      <c r="N427" s="51" t="s">
        <v>1438</v>
      </c>
    </row>
    <row r="428" spans="1:14" x14ac:dyDescent="0.25">
      <c r="A428" s="84" t="s">
        <v>1166</v>
      </c>
      <c r="B428" t="s">
        <v>1298</v>
      </c>
      <c r="C428" s="14" t="s">
        <v>3</v>
      </c>
      <c r="D428" s="14" t="s">
        <v>362</v>
      </c>
      <c r="E428" s="2" t="s">
        <v>1223</v>
      </c>
      <c r="F428" t="s">
        <v>1435</v>
      </c>
      <c r="G428" s="2" t="s">
        <v>1440</v>
      </c>
      <c r="H428" t="s">
        <v>1435</v>
      </c>
      <c r="I428" s="2" t="s">
        <v>383</v>
      </c>
      <c r="J428" s="2" t="s">
        <v>78</v>
      </c>
      <c r="K428"/>
      <c r="L428" t="s">
        <v>1470</v>
      </c>
      <c r="M428"/>
      <c r="N428" s="51" t="s">
        <v>1439</v>
      </c>
    </row>
    <row r="429" spans="1:14" x14ac:dyDescent="0.25">
      <c r="A429" s="84" t="s">
        <v>1166</v>
      </c>
      <c r="B429" t="s">
        <v>1298</v>
      </c>
      <c r="C429" s="14" t="s">
        <v>3</v>
      </c>
      <c r="D429" s="14" t="s">
        <v>362</v>
      </c>
      <c r="E429" s="2" t="s">
        <v>1224</v>
      </c>
      <c r="F429" t="s">
        <v>1476</v>
      </c>
      <c r="G429" s="2" t="s">
        <v>1441</v>
      </c>
      <c r="H429" t="s">
        <v>1476</v>
      </c>
      <c r="I429" s="2" t="s">
        <v>383</v>
      </c>
      <c r="J429" s="2" t="s">
        <v>78</v>
      </c>
      <c r="K429"/>
      <c r="L429" t="s">
        <v>1470</v>
      </c>
      <c r="M429"/>
      <c r="N429" s="51" t="s">
        <v>1442</v>
      </c>
    </row>
    <row r="430" spans="1:14" x14ac:dyDescent="0.25">
      <c r="A430" s="84" t="s">
        <v>1166</v>
      </c>
      <c r="B430" t="s">
        <v>1298</v>
      </c>
      <c r="C430" s="14" t="s">
        <v>3</v>
      </c>
      <c r="D430" s="14" t="s">
        <v>362</v>
      </c>
      <c r="E430" s="2" t="s">
        <v>525</v>
      </c>
      <c r="F430" t="s">
        <v>1477</v>
      </c>
      <c r="G430" s="2" t="s">
        <v>1444</v>
      </c>
      <c r="H430" t="s">
        <v>1477</v>
      </c>
      <c r="I430" s="2" t="s">
        <v>383</v>
      </c>
      <c r="J430" s="2" t="s">
        <v>78</v>
      </c>
      <c r="K430"/>
      <c r="L430" t="s">
        <v>1470</v>
      </c>
      <c r="M430"/>
      <c r="N430" s="51" t="s">
        <v>1461</v>
      </c>
    </row>
    <row r="431" spans="1:14" x14ac:dyDescent="0.25">
      <c r="A431" s="84" t="s">
        <v>1166</v>
      </c>
      <c r="B431" t="s">
        <v>1298</v>
      </c>
      <c r="C431" s="14" t="s">
        <v>3</v>
      </c>
      <c r="D431" s="14" t="s">
        <v>362</v>
      </c>
      <c r="E431" s="2" t="s">
        <v>526</v>
      </c>
      <c r="F431" t="s">
        <v>1344</v>
      </c>
      <c r="G431" s="2" t="s">
        <v>1443</v>
      </c>
      <c r="H431" t="s">
        <v>1349</v>
      </c>
      <c r="I431" s="2" t="s">
        <v>1044</v>
      </c>
      <c r="J431" s="2" t="s">
        <v>78</v>
      </c>
      <c r="K431"/>
      <c r="L431" t="s">
        <v>1470</v>
      </c>
      <c r="M431"/>
      <c r="N431" s="51" t="s">
        <v>1461</v>
      </c>
    </row>
    <row r="432" spans="1:14" x14ac:dyDescent="0.25">
      <c r="A432" s="84" t="s">
        <v>1166</v>
      </c>
      <c r="B432" t="s">
        <v>1298</v>
      </c>
      <c r="C432" s="14" t="s">
        <v>3</v>
      </c>
      <c r="D432" s="14" t="s">
        <v>362</v>
      </c>
      <c r="E432" s="2" t="s">
        <v>613</v>
      </c>
      <c r="F432" t="s">
        <v>1478</v>
      </c>
      <c r="G432" s="2" t="s">
        <v>1445</v>
      </c>
      <c r="H432" t="s">
        <v>1479</v>
      </c>
      <c r="I432" s="2" t="s">
        <v>1044</v>
      </c>
      <c r="J432" s="2" t="s">
        <v>78</v>
      </c>
      <c r="K432"/>
      <c r="L432" t="s">
        <v>1470</v>
      </c>
      <c r="M432"/>
      <c r="N432" s="51" t="s">
        <v>1461</v>
      </c>
    </row>
    <row r="433" spans="1:14" x14ac:dyDescent="0.25">
      <c r="A433" s="84" t="s">
        <v>1166</v>
      </c>
      <c r="B433" t="s">
        <v>1298</v>
      </c>
      <c r="C433" s="14" t="s">
        <v>3</v>
      </c>
      <c r="D433" s="14" t="s">
        <v>362</v>
      </c>
      <c r="E433" s="2" t="s">
        <v>1452</v>
      </c>
      <c r="F433" t="s">
        <v>1474</v>
      </c>
      <c r="G433" s="2" t="s">
        <v>1459</v>
      </c>
      <c r="H433" t="s">
        <v>1482</v>
      </c>
      <c r="I433" s="2" t="s">
        <v>1486</v>
      </c>
      <c r="J433" s="2" t="s">
        <v>78</v>
      </c>
      <c r="K433"/>
      <c r="L433" t="s">
        <v>1470</v>
      </c>
      <c r="M433"/>
      <c r="N433" s="51" t="s">
        <v>1480</v>
      </c>
    </row>
    <row r="434" spans="1:14" x14ac:dyDescent="0.25">
      <c r="A434" s="84" t="s">
        <v>1166</v>
      </c>
      <c r="B434" t="s">
        <v>1298</v>
      </c>
      <c r="C434" s="14" t="s">
        <v>3</v>
      </c>
      <c r="D434" s="14" t="s">
        <v>362</v>
      </c>
      <c r="E434" s="2" t="s">
        <v>1453</v>
      </c>
      <c r="F434" t="s">
        <v>1474</v>
      </c>
      <c r="G434" s="2" t="s">
        <v>1460</v>
      </c>
      <c r="H434" t="s">
        <v>1482</v>
      </c>
      <c r="I434" s="2" t="s">
        <v>1486</v>
      </c>
      <c r="J434" s="2" t="s">
        <v>78</v>
      </c>
      <c r="K434"/>
      <c r="L434" t="s">
        <v>1470</v>
      </c>
      <c r="M434"/>
      <c r="N434" s="51" t="s">
        <v>1480</v>
      </c>
    </row>
    <row r="435" spans="1:14" x14ac:dyDescent="0.25">
      <c r="A435" s="84" t="s">
        <v>1166</v>
      </c>
      <c r="B435" t="s">
        <v>1298</v>
      </c>
      <c r="C435" s="14" t="s">
        <v>3</v>
      </c>
      <c r="D435" s="14" t="s">
        <v>362</v>
      </c>
      <c r="E435" s="2" t="s">
        <v>1221</v>
      </c>
      <c r="F435" t="s">
        <v>1472</v>
      </c>
      <c r="G435" s="2" t="s">
        <v>1462</v>
      </c>
      <c r="H435" t="s">
        <v>1482</v>
      </c>
      <c r="I435" s="2" t="s">
        <v>448</v>
      </c>
      <c r="J435" s="2" t="s">
        <v>78</v>
      </c>
      <c r="K435"/>
      <c r="L435" t="s">
        <v>1470</v>
      </c>
      <c r="M435"/>
      <c r="N435" s="51" t="s">
        <v>1483</v>
      </c>
    </row>
    <row r="436" spans="1:14" x14ac:dyDescent="0.25">
      <c r="A436" s="84" t="s">
        <v>1166</v>
      </c>
      <c r="B436" t="s">
        <v>1298</v>
      </c>
      <c r="C436" s="14" t="s">
        <v>3</v>
      </c>
      <c r="D436" s="14" t="s">
        <v>362</v>
      </c>
      <c r="E436" s="2" t="s">
        <v>1222</v>
      </c>
      <c r="F436" t="s">
        <v>1473</v>
      </c>
      <c r="G436" s="2" t="s">
        <v>1463</v>
      </c>
      <c r="H436" t="s">
        <v>1484</v>
      </c>
      <c r="I436" s="2" t="s">
        <v>448</v>
      </c>
      <c r="J436" s="2" t="s">
        <v>78</v>
      </c>
      <c r="K436"/>
      <c r="L436" t="s">
        <v>1470</v>
      </c>
      <c r="M436"/>
      <c r="N436" s="51" t="s">
        <v>1483</v>
      </c>
    </row>
    <row r="437" spans="1:14" x14ac:dyDescent="0.25">
      <c r="A437" s="84" t="s">
        <v>1166</v>
      </c>
      <c r="B437" t="s">
        <v>1298</v>
      </c>
      <c r="C437" s="14" t="s">
        <v>3</v>
      </c>
      <c r="D437" s="14" t="s">
        <v>362</v>
      </c>
      <c r="E437" s="2" t="s">
        <v>1454</v>
      </c>
      <c r="F437" t="s">
        <v>1481</v>
      </c>
      <c r="G437" s="2" t="s">
        <v>1454</v>
      </c>
      <c r="H437" t="s">
        <v>1485</v>
      </c>
      <c r="I437" s="2" t="s">
        <v>1044</v>
      </c>
      <c r="J437" s="2" t="s">
        <v>78</v>
      </c>
      <c r="K437"/>
      <c r="L437" t="s">
        <v>1470</v>
      </c>
      <c r="M437"/>
      <c r="N437" s="51" t="s">
        <v>1464</v>
      </c>
    </row>
    <row r="438" spans="1:14" x14ac:dyDescent="0.25">
      <c r="A438" s="84" t="s">
        <v>1166</v>
      </c>
      <c r="B438" t="s">
        <v>1298</v>
      </c>
      <c r="C438" s="14" t="s">
        <v>3</v>
      </c>
      <c r="D438" s="14" t="s">
        <v>362</v>
      </c>
      <c r="E438" s="2" t="s">
        <v>1455</v>
      </c>
      <c r="F438" t="s">
        <v>1188</v>
      </c>
      <c r="G438" s="2" t="s">
        <v>1468</v>
      </c>
      <c r="H438" t="s">
        <v>1188</v>
      </c>
      <c r="I438" s="2" t="s">
        <v>383</v>
      </c>
      <c r="J438" s="2" t="s">
        <v>78</v>
      </c>
      <c r="K438"/>
      <c r="L438" t="s">
        <v>1470</v>
      </c>
      <c r="M438"/>
      <c r="N438" s="51" t="s">
        <v>1469</v>
      </c>
    </row>
    <row r="439" spans="1:14" x14ac:dyDescent="0.25">
      <c r="A439" s="84" t="s">
        <v>1166</v>
      </c>
      <c r="B439" t="s">
        <v>1298</v>
      </c>
      <c r="C439" s="14" t="s">
        <v>3</v>
      </c>
      <c r="D439" s="14" t="s">
        <v>362</v>
      </c>
      <c r="E439" s="2" t="s">
        <v>1456</v>
      </c>
      <c r="F439" t="s">
        <v>1189</v>
      </c>
      <c r="G439" s="2" t="s">
        <v>1465</v>
      </c>
      <c r="H439" t="s">
        <v>1189</v>
      </c>
      <c r="I439" s="2" t="s">
        <v>383</v>
      </c>
      <c r="J439" s="2" t="s">
        <v>78</v>
      </c>
      <c r="K439"/>
      <c r="L439" t="s">
        <v>1470</v>
      </c>
      <c r="M439"/>
      <c r="N439" s="51" t="s">
        <v>1469</v>
      </c>
    </row>
    <row r="440" spans="1:14" x14ac:dyDescent="0.25">
      <c r="A440" s="84" t="s">
        <v>1166</v>
      </c>
      <c r="B440" t="s">
        <v>1298</v>
      </c>
      <c r="C440" s="14" t="s">
        <v>3</v>
      </c>
      <c r="D440" s="14" t="s">
        <v>362</v>
      </c>
      <c r="E440" s="2" t="s">
        <v>1457</v>
      </c>
      <c r="F440" t="s">
        <v>1190</v>
      </c>
      <c r="G440" s="2" t="s">
        <v>1466</v>
      </c>
      <c r="H440" t="s">
        <v>1190</v>
      </c>
      <c r="I440" s="2" t="s">
        <v>383</v>
      </c>
      <c r="J440" s="2" t="s">
        <v>78</v>
      </c>
      <c r="K440"/>
      <c r="L440" t="s">
        <v>1470</v>
      </c>
      <c r="M440"/>
      <c r="N440" s="51" t="s">
        <v>1469</v>
      </c>
    </row>
    <row r="441" spans="1:14" x14ac:dyDescent="0.25">
      <c r="A441" s="84" t="s">
        <v>1166</v>
      </c>
      <c r="B441" t="s">
        <v>1298</v>
      </c>
      <c r="C441" s="14" t="s">
        <v>3</v>
      </c>
      <c r="D441" s="14" t="s">
        <v>362</v>
      </c>
      <c r="E441" s="2" t="s">
        <v>1458</v>
      </c>
      <c r="F441" t="s">
        <v>864</v>
      </c>
      <c r="G441" s="2" t="s">
        <v>1467</v>
      </c>
      <c r="H441" t="s">
        <v>864</v>
      </c>
      <c r="I441" s="2" t="s">
        <v>383</v>
      </c>
      <c r="J441" s="2" t="s">
        <v>78</v>
      </c>
      <c r="K441"/>
      <c r="L441" t="s">
        <v>1470</v>
      </c>
      <c r="M441"/>
      <c r="N441" s="51" t="s">
        <v>1469</v>
      </c>
    </row>
    <row r="442" spans="1:14" x14ac:dyDescent="0.25">
      <c r="A442" s="84" t="s">
        <v>1167</v>
      </c>
      <c r="B442" t="s">
        <v>1298</v>
      </c>
      <c r="C442" s="14" t="s">
        <v>3</v>
      </c>
      <c r="D442" s="14" t="s">
        <v>362</v>
      </c>
      <c r="E442" s="2" t="s">
        <v>1052</v>
      </c>
      <c r="F442" t="s">
        <v>1507</v>
      </c>
      <c r="G442" s="2" t="s">
        <v>78</v>
      </c>
      <c r="H442" t="s">
        <v>1507</v>
      </c>
      <c r="I442" s="2" t="s">
        <v>383</v>
      </c>
      <c r="J442" s="2" t="s">
        <v>78</v>
      </c>
      <c r="K442"/>
      <c r="L442" t="s">
        <v>1507</v>
      </c>
      <c r="M442"/>
      <c r="N442" s="51" t="s">
        <v>1497</v>
      </c>
    </row>
    <row r="443" spans="1:14" x14ac:dyDescent="0.25">
      <c r="A443" s="84" t="s">
        <v>1167</v>
      </c>
      <c r="B443" t="s">
        <v>1298</v>
      </c>
      <c r="C443" s="14" t="s">
        <v>3</v>
      </c>
      <c r="D443" s="14" t="s">
        <v>362</v>
      </c>
      <c r="E443" s="2" t="s">
        <v>1225</v>
      </c>
      <c r="F443" t="s">
        <v>308</v>
      </c>
      <c r="G443" s="2" t="s">
        <v>1226</v>
      </c>
      <c r="H443" t="s">
        <v>1342</v>
      </c>
      <c r="I443" s="2" t="s">
        <v>1044</v>
      </c>
      <c r="J443" s="2" t="s">
        <v>78</v>
      </c>
      <c r="K443"/>
      <c r="L443" t="s">
        <v>1507</v>
      </c>
      <c r="M443"/>
      <c r="N443" s="51" t="s">
        <v>1497</v>
      </c>
    </row>
    <row r="444" spans="1:14" x14ac:dyDescent="0.25">
      <c r="A444" s="84" t="s">
        <v>1167</v>
      </c>
      <c r="B444" t="s">
        <v>1298</v>
      </c>
      <c r="C444" s="14" t="s">
        <v>3</v>
      </c>
      <c r="D444" s="14" t="s">
        <v>362</v>
      </c>
      <c r="E444" s="2" t="s">
        <v>1223</v>
      </c>
      <c r="F444" t="s">
        <v>1435</v>
      </c>
      <c r="G444" s="2" t="s">
        <v>1440</v>
      </c>
      <c r="H444" t="s">
        <v>1435</v>
      </c>
      <c r="I444" s="2" t="s">
        <v>383</v>
      </c>
      <c r="J444" s="2" t="s">
        <v>78</v>
      </c>
      <c r="K444"/>
      <c r="L444" t="s">
        <v>1507</v>
      </c>
      <c r="M444"/>
      <c r="N444" s="51" t="s">
        <v>1439</v>
      </c>
    </row>
    <row r="445" spans="1:14" x14ac:dyDescent="0.25">
      <c r="A445" s="84" t="s">
        <v>1167</v>
      </c>
      <c r="B445" t="s">
        <v>1298</v>
      </c>
      <c r="C445" s="14" t="s">
        <v>3</v>
      </c>
      <c r="D445" s="14" t="s">
        <v>362</v>
      </c>
      <c r="E445" s="2" t="s">
        <v>1224</v>
      </c>
      <c r="F445" t="s">
        <v>839</v>
      </c>
      <c r="G445" s="2" t="s">
        <v>1441</v>
      </c>
      <c r="H445" t="s">
        <v>839</v>
      </c>
      <c r="I445" s="2" t="s">
        <v>383</v>
      </c>
      <c r="J445" s="2" t="s">
        <v>78</v>
      </c>
      <c r="K445"/>
      <c r="L445" t="s">
        <v>1507</v>
      </c>
      <c r="M445"/>
      <c r="N445" s="51" t="s">
        <v>1442</v>
      </c>
    </row>
    <row r="446" spans="1:14" x14ac:dyDescent="0.25">
      <c r="A446" s="84" t="s">
        <v>1167</v>
      </c>
      <c r="B446" t="s">
        <v>1298</v>
      </c>
      <c r="C446" s="14" t="s">
        <v>3</v>
      </c>
      <c r="D446" s="14" t="s">
        <v>362</v>
      </c>
      <c r="E446" s="2" t="s">
        <v>1498</v>
      </c>
      <c r="F446" t="s">
        <v>1508</v>
      </c>
      <c r="G446" s="2" t="s">
        <v>1499</v>
      </c>
      <c r="H446" t="s">
        <v>1511</v>
      </c>
      <c r="I446" s="2" t="s">
        <v>448</v>
      </c>
      <c r="J446" s="2" t="s">
        <v>78</v>
      </c>
      <c r="K446"/>
      <c r="L446" t="s">
        <v>1507</v>
      </c>
      <c r="M446"/>
      <c r="N446" s="51" t="s">
        <v>1500</v>
      </c>
    </row>
    <row r="447" spans="1:14" x14ac:dyDescent="0.25">
      <c r="A447" s="84" t="s">
        <v>1167</v>
      </c>
      <c r="B447" t="s">
        <v>1298</v>
      </c>
      <c r="C447" s="14" t="s">
        <v>3</v>
      </c>
      <c r="D447" s="14" t="s">
        <v>362</v>
      </c>
      <c r="E447" s="2" t="s">
        <v>1501</v>
      </c>
      <c r="F447" t="s">
        <v>1508</v>
      </c>
      <c r="G447" s="2" t="s">
        <v>1503</v>
      </c>
      <c r="H447" t="s">
        <v>1512</v>
      </c>
      <c r="I447" s="2" t="s">
        <v>448</v>
      </c>
      <c r="J447" s="2" t="s">
        <v>78</v>
      </c>
      <c r="K447"/>
      <c r="L447" t="s">
        <v>1507</v>
      </c>
      <c r="M447"/>
      <c r="N447" s="51" t="s">
        <v>1505</v>
      </c>
    </row>
    <row r="448" spans="1:14" x14ac:dyDescent="0.25">
      <c r="A448" s="84" t="s">
        <v>1167</v>
      </c>
      <c r="B448" t="s">
        <v>1298</v>
      </c>
      <c r="C448" s="14" t="s">
        <v>3</v>
      </c>
      <c r="D448" s="14" t="s">
        <v>362</v>
      </c>
      <c r="E448" s="2" t="s">
        <v>1502</v>
      </c>
      <c r="F448" t="s">
        <v>1508</v>
      </c>
      <c r="G448" s="2" t="s">
        <v>1504</v>
      </c>
      <c r="H448" t="s">
        <v>1511</v>
      </c>
      <c r="I448" s="2" t="s">
        <v>448</v>
      </c>
      <c r="J448" s="2" t="s">
        <v>78</v>
      </c>
      <c r="K448"/>
      <c r="L448" t="s">
        <v>1507</v>
      </c>
      <c r="M448"/>
      <c r="N448" s="51" t="s">
        <v>1505</v>
      </c>
    </row>
    <row r="449" spans="1:14" x14ac:dyDescent="0.25">
      <c r="A449" s="84" t="s">
        <v>1167</v>
      </c>
      <c r="B449" t="s">
        <v>1298</v>
      </c>
      <c r="C449" s="14" t="s">
        <v>3</v>
      </c>
      <c r="D449" s="14" t="s">
        <v>362</v>
      </c>
      <c r="E449" s="2" t="s">
        <v>525</v>
      </c>
      <c r="F449" t="s">
        <v>1509</v>
      </c>
      <c r="G449" s="2" t="s">
        <v>1444</v>
      </c>
      <c r="H449" t="s">
        <v>1509</v>
      </c>
      <c r="I449" s="2" t="s">
        <v>383</v>
      </c>
      <c r="J449" s="2" t="s">
        <v>78</v>
      </c>
      <c r="K449"/>
      <c r="L449" t="s">
        <v>1507</v>
      </c>
      <c r="M449"/>
      <c r="N449" s="51" t="s">
        <v>1514</v>
      </c>
    </row>
    <row r="450" spans="1:14" x14ac:dyDescent="0.25">
      <c r="A450" s="84" t="s">
        <v>1167</v>
      </c>
      <c r="B450" t="s">
        <v>1298</v>
      </c>
      <c r="C450" s="14" t="s">
        <v>3</v>
      </c>
      <c r="D450" s="14" t="s">
        <v>362</v>
      </c>
      <c r="E450" s="2" t="s">
        <v>526</v>
      </c>
      <c r="F450" t="s">
        <v>1344</v>
      </c>
      <c r="G450" s="2" t="s">
        <v>1443</v>
      </c>
      <c r="H450" t="s">
        <v>1349</v>
      </c>
      <c r="I450" s="2" t="s">
        <v>1044</v>
      </c>
      <c r="J450" s="2" t="s">
        <v>78</v>
      </c>
      <c r="K450"/>
      <c r="L450" t="s">
        <v>1507</v>
      </c>
      <c r="M450"/>
      <c r="N450" s="51" t="s">
        <v>1514</v>
      </c>
    </row>
    <row r="451" spans="1:14" x14ac:dyDescent="0.25">
      <c r="A451" s="84" t="s">
        <v>1167</v>
      </c>
      <c r="B451" t="s">
        <v>1298</v>
      </c>
      <c r="C451" s="14" t="s">
        <v>3</v>
      </c>
      <c r="D451" s="14" t="s">
        <v>362</v>
      </c>
      <c r="E451" s="2" t="s">
        <v>613</v>
      </c>
      <c r="F451" t="s">
        <v>1510</v>
      </c>
      <c r="G451" s="2" t="s">
        <v>1445</v>
      </c>
      <c r="H451" t="s">
        <v>1513</v>
      </c>
      <c r="I451" s="2" t="s">
        <v>1044</v>
      </c>
      <c r="J451" s="2" t="s">
        <v>78</v>
      </c>
      <c r="K451"/>
      <c r="L451" t="s">
        <v>1507</v>
      </c>
      <c r="M451"/>
      <c r="N451" s="51" t="s">
        <v>1514</v>
      </c>
    </row>
    <row r="452" spans="1:14" x14ac:dyDescent="0.25">
      <c r="A452" s="84" t="s">
        <v>1168</v>
      </c>
      <c r="B452" t="s">
        <v>1298</v>
      </c>
      <c r="C452" s="14" t="s">
        <v>3</v>
      </c>
      <c r="D452" s="14" t="s">
        <v>362</v>
      </c>
      <c r="E452" s="2" t="s">
        <v>1052</v>
      </c>
      <c r="F452" t="s">
        <v>1518</v>
      </c>
      <c r="G452" s="2" t="s">
        <v>1437</v>
      </c>
      <c r="H452" t="s">
        <v>1518</v>
      </c>
      <c r="I452" s="2" t="s">
        <v>383</v>
      </c>
      <c r="J452" s="2" t="s">
        <v>78</v>
      </c>
      <c r="K452"/>
      <c r="L452" t="s">
        <v>1518</v>
      </c>
      <c r="M452"/>
      <c r="N452" s="51" t="s">
        <v>1438</v>
      </c>
    </row>
    <row r="453" spans="1:14" x14ac:dyDescent="0.25">
      <c r="A453" s="84" t="s">
        <v>1168</v>
      </c>
      <c r="B453" t="s">
        <v>1298</v>
      </c>
      <c r="C453" s="14" t="s">
        <v>3</v>
      </c>
      <c r="D453" s="14" t="s">
        <v>362</v>
      </c>
      <c r="E453" s="2" t="s">
        <v>1220</v>
      </c>
      <c r="F453" t="s">
        <v>1521</v>
      </c>
      <c r="G453" s="2" t="s">
        <v>1220</v>
      </c>
      <c r="H453" t="s">
        <v>1521</v>
      </c>
      <c r="I453" s="2" t="s">
        <v>383</v>
      </c>
      <c r="J453" s="2" t="s">
        <v>78</v>
      </c>
      <c r="K453"/>
      <c r="L453" t="s">
        <v>1518</v>
      </c>
      <c r="M453"/>
      <c r="N453" s="51" t="s">
        <v>1438</v>
      </c>
    </row>
    <row r="454" spans="1:14" x14ac:dyDescent="0.25">
      <c r="A454" s="84" t="s">
        <v>1168</v>
      </c>
      <c r="B454" t="s">
        <v>1298</v>
      </c>
      <c r="C454" s="14" t="s">
        <v>3</v>
      </c>
      <c r="D454" s="14" t="s">
        <v>362</v>
      </c>
      <c r="E454" s="2" t="s">
        <v>2006</v>
      </c>
      <c r="F454" t="s">
        <v>308</v>
      </c>
      <c r="G454" s="2" t="s">
        <v>1519</v>
      </c>
      <c r="H454" t="s">
        <v>1342</v>
      </c>
      <c r="I454" s="2" t="s">
        <v>1044</v>
      </c>
      <c r="J454" s="2" t="s">
        <v>78</v>
      </c>
      <c r="L454" t="s">
        <v>1518</v>
      </c>
      <c r="N454" s="42" t="s">
        <v>1520</v>
      </c>
    </row>
    <row r="455" spans="1:14" x14ac:dyDescent="0.25">
      <c r="A455" s="84" t="s">
        <v>1168</v>
      </c>
      <c r="B455" t="s">
        <v>1298</v>
      </c>
      <c r="C455" s="14" t="s">
        <v>3</v>
      </c>
      <c r="D455" s="14" t="s">
        <v>362</v>
      </c>
      <c r="E455" s="2" t="s">
        <v>1223</v>
      </c>
      <c r="F455" t="s">
        <v>1435</v>
      </c>
      <c r="G455" s="2" t="s">
        <v>1440</v>
      </c>
      <c r="H455" t="s">
        <v>1435</v>
      </c>
      <c r="I455" s="2" t="s">
        <v>383</v>
      </c>
      <c r="J455" s="2" t="s">
        <v>78</v>
      </c>
      <c r="K455"/>
      <c r="L455" t="s">
        <v>1518</v>
      </c>
      <c r="M455"/>
      <c r="N455" s="104" t="s">
        <v>1439</v>
      </c>
    </row>
    <row r="456" spans="1:14" x14ac:dyDescent="0.25">
      <c r="A456" s="84" t="s">
        <v>1168</v>
      </c>
      <c r="B456" t="s">
        <v>1298</v>
      </c>
      <c r="C456" s="14" t="s">
        <v>3</v>
      </c>
      <c r="D456" s="14" t="s">
        <v>362</v>
      </c>
      <c r="E456" s="2" t="s">
        <v>1224</v>
      </c>
      <c r="F456" t="s">
        <v>1516</v>
      </c>
      <c r="G456" s="2" t="s">
        <v>1441</v>
      </c>
      <c r="H456" t="s">
        <v>1516</v>
      </c>
      <c r="I456" s="2" t="s">
        <v>383</v>
      </c>
      <c r="J456" s="2" t="s">
        <v>78</v>
      </c>
      <c r="K456"/>
      <c r="L456" t="s">
        <v>1518</v>
      </c>
      <c r="M456"/>
      <c r="N456" s="51" t="s">
        <v>1442</v>
      </c>
    </row>
    <row r="457" spans="1:14" x14ac:dyDescent="0.25">
      <c r="A457" s="84" t="s">
        <v>1168</v>
      </c>
      <c r="B457" t="s">
        <v>1298</v>
      </c>
      <c r="C457" s="14" t="s">
        <v>3</v>
      </c>
      <c r="D457" s="14" t="s">
        <v>362</v>
      </c>
      <c r="E457" s="2" t="s">
        <v>525</v>
      </c>
      <c r="F457" t="s">
        <v>1477</v>
      </c>
      <c r="G457" s="2" t="s">
        <v>1444</v>
      </c>
      <c r="H457" t="s">
        <v>1477</v>
      </c>
      <c r="I457" s="2" t="s">
        <v>383</v>
      </c>
      <c r="J457" s="2" t="s">
        <v>78</v>
      </c>
      <c r="K457"/>
      <c r="L457" t="s">
        <v>1518</v>
      </c>
      <c r="M457"/>
      <c r="N457" s="51" t="s">
        <v>1461</v>
      </c>
    </row>
    <row r="458" spans="1:14" x14ac:dyDescent="0.25">
      <c r="A458" s="84" t="s">
        <v>1168</v>
      </c>
      <c r="B458" t="s">
        <v>1298</v>
      </c>
      <c r="C458" s="14" t="s">
        <v>3</v>
      </c>
      <c r="D458" s="14" t="s">
        <v>362</v>
      </c>
      <c r="E458" s="2" t="s">
        <v>526</v>
      </c>
      <c r="F458" t="s">
        <v>1344</v>
      </c>
      <c r="G458" s="2" t="s">
        <v>1443</v>
      </c>
      <c r="H458" t="s">
        <v>1349</v>
      </c>
      <c r="I458" s="2" t="s">
        <v>1044</v>
      </c>
      <c r="J458" s="2" t="s">
        <v>78</v>
      </c>
      <c r="K458"/>
      <c r="L458" t="s">
        <v>1518</v>
      </c>
      <c r="M458"/>
      <c r="N458" s="51" t="s">
        <v>1461</v>
      </c>
    </row>
    <row r="459" spans="1:14" x14ac:dyDescent="0.25">
      <c r="A459" s="84" t="s">
        <v>1168</v>
      </c>
      <c r="B459" t="s">
        <v>1298</v>
      </c>
      <c r="C459" s="14" t="s">
        <v>3</v>
      </c>
      <c r="D459" s="14" t="s">
        <v>362</v>
      </c>
      <c r="E459" s="2" t="s">
        <v>613</v>
      </c>
      <c r="F459" t="s">
        <v>1522</v>
      </c>
      <c r="G459" s="2" t="s">
        <v>1445</v>
      </c>
      <c r="H459" t="s">
        <v>1523</v>
      </c>
      <c r="I459" s="2" t="s">
        <v>1044</v>
      </c>
      <c r="J459" s="2" t="s">
        <v>78</v>
      </c>
      <c r="K459"/>
      <c r="L459" t="s">
        <v>1518</v>
      </c>
      <c r="M459"/>
      <c r="N459" s="51" t="s">
        <v>1461</v>
      </c>
    </row>
    <row r="460" spans="1:14" x14ac:dyDescent="0.25">
      <c r="A460" s="84" t="s">
        <v>1169</v>
      </c>
      <c r="B460" t="s">
        <v>1298</v>
      </c>
      <c r="C460" s="14" t="s">
        <v>3</v>
      </c>
      <c r="D460" s="14" t="s">
        <v>362</v>
      </c>
      <c r="E460" s="2" t="s">
        <v>1052</v>
      </c>
      <c r="F460" t="s">
        <v>1572</v>
      </c>
      <c r="G460" s="2" t="s">
        <v>1220</v>
      </c>
      <c r="H460" t="s">
        <v>1575</v>
      </c>
      <c r="I460" s="2" t="s">
        <v>1044</v>
      </c>
      <c r="J460" s="2" t="s">
        <v>78</v>
      </c>
      <c r="K460"/>
      <c r="L460" t="s">
        <v>1572</v>
      </c>
      <c r="M460"/>
      <c r="N460" s="51" t="s">
        <v>1438</v>
      </c>
    </row>
    <row r="461" spans="1:14" x14ac:dyDescent="0.25">
      <c r="A461" s="84" t="s">
        <v>1169</v>
      </c>
      <c r="B461" t="s">
        <v>1298</v>
      </c>
      <c r="C461" s="14" t="s">
        <v>3</v>
      </c>
      <c r="D461" s="14" t="s">
        <v>362</v>
      </c>
      <c r="E461" s="2" t="s">
        <v>1052</v>
      </c>
      <c r="F461" t="s">
        <v>1572</v>
      </c>
      <c r="G461" s="2" t="s">
        <v>1440</v>
      </c>
      <c r="H461" t="s">
        <v>1435</v>
      </c>
      <c r="I461" s="2" t="s">
        <v>1044</v>
      </c>
      <c r="J461" s="2" t="s">
        <v>78</v>
      </c>
      <c r="K461"/>
      <c r="L461" t="s">
        <v>1572</v>
      </c>
      <c r="M461"/>
      <c r="N461" s="104" t="s">
        <v>1439</v>
      </c>
    </row>
    <row r="462" spans="1:14" x14ac:dyDescent="0.25">
      <c r="A462" s="84" t="s">
        <v>1169</v>
      </c>
      <c r="B462" t="s">
        <v>1298</v>
      </c>
      <c r="C462" s="14" t="s">
        <v>3</v>
      </c>
      <c r="D462" s="14" t="s">
        <v>362</v>
      </c>
      <c r="E462" s="2" t="s">
        <v>1052</v>
      </c>
      <c r="F462" t="s">
        <v>1572</v>
      </c>
      <c r="G462" s="2" t="s">
        <v>1441</v>
      </c>
      <c r="H462" t="s">
        <v>1280</v>
      </c>
      <c r="I462" s="2" t="s">
        <v>1044</v>
      </c>
      <c r="J462" s="2" t="s">
        <v>78</v>
      </c>
      <c r="K462"/>
      <c r="L462" t="s">
        <v>1572</v>
      </c>
      <c r="M462"/>
      <c r="N462" s="51" t="s">
        <v>1442</v>
      </c>
    </row>
    <row r="463" spans="1:14" x14ac:dyDescent="0.25">
      <c r="A463" s="84" t="s">
        <v>1169</v>
      </c>
      <c r="B463" t="s">
        <v>1298</v>
      </c>
      <c r="C463" s="14" t="s">
        <v>3</v>
      </c>
      <c r="D463" s="14" t="s">
        <v>362</v>
      </c>
      <c r="E463" s="2" t="s">
        <v>525</v>
      </c>
      <c r="F463" t="s">
        <v>1319</v>
      </c>
      <c r="G463" s="2" t="s">
        <v>1444</v>
      </c>
      <c r="H463" t="s">
        <v>1319</v>
      </c>
      <c r="I463" s="2" t="s">
        <v>383</v>
      </c>
      <c r="J463" s="2" t="s">
        <v>78</v>
      </c>
      <c r="K463"/>
      <c r="L463" t="s">
        <v>1572</v>
      </c>
      <c r="M463"/>
      <c r="N463" s="51" t="s">
        <v>1571</v>
      </c>
    </row>
    <row r="464" spans="1:14" x14ac:dyDescent="0.25">
      <c r="A464" s="84" t="s">
        <v>1169</v>
      </c>
      <c r="B464" t="s">
        <v>1298</v>
      </c>
      <c r="C464" s="14" t="s">
        <v>3</v>
      </c>
      <c r="D464" s="14" t="s">
        <v>362</v>
      </c>
      <c r="E464" s="2" t="s">
        <v>526</v>
      </c>
      <c r="F464" t="s">
        <v>1344</v>
      </c>
      <c r="G464" s="2" t="s">
        <v>1443</v>
      </c>
      <c r="H464" t="s">
        <v>1349</v>
      </c>
      <c r="I464" s="2" t="s">
        <v>1044</v>
      </c>
      <c r="J464" s="2" t="s">
        <v>78</v>
      </c>
      <c r="K464"/>
      <c r="L464" t="s">
        <v>1572</v>
      </c>
      <c r="M464"/>
      <c r="N464" s="51" t="s">
        <v>1571</v>
      </c>
    </row>
    <row r="465" spans="1:14" x14ac:dyDescent="0.25">
      <c r="A465" s="84" t="s">
        <v>1169</v>
      </c>
      <c r="B465" t="s">
        <v>1298</v>
      </c>
      <c r="C465" s="14" t="s">
        <v>3</v>
      </c>
      <c r="D465" s="14" t="s">
        <v>362</v>
      </c>
      <c r="E465" s="2" t="s">
        <v>613</v>
      </c>
      <c r="F465" t="s">
        <v>1574</v>
      </c>
      <c r="G465" s="2" t="s">
        <v>1445</v>
      </c>
      <c r="H465" t="s">
        <v>1576</v>
      </c>
      <c r="I465" s="2" t="s">
        <v>1044</v>
      </c>
      <c r="J465" s="2" t="s">
        <v>78</v>
      </c>
      <c r="K465"/>
      <c r="L465" t="s">
        <v>1572</v>
      </c>
      <c r="M465"/>
      <c r="N465" s="51" t="s">
        <v>1571</v>
      </c>
    </row>
    <row r="466" spans="1:14" x14ac:dyDescent="0.25">
      <c r="A466" s="84" t="s">
        <v>1170</v>
      </c>
      <c r="B466" t="s">
        <v>1298</v>
      </c>
      <c r="C466" s="14" t="s">
        <v>3</v>
      </c>
      <c r="D466" s="14" t="s">
        <v>362</v>
      </c>
      <c r="E466" s="2" t="s">
        <v>1052</v>
      </c>
      <c r="F466" t="s">
        <v>1706</v>
      </c>
      <c r="G466" s="2" t="s">
        <v>1220</v>
      </c>
      <c r="H466" t="s">
        <v>1706</v>
      </c>
      <c r="I466" s="2" t="s">
        <v>1044</v>
      </c>
      <c r="J466" s="2" t="s">
        <v>78</v>
      </c>
      <c r="K466"/>
      <c r="L466" t="s">
        <v>1706</v>
      </c>
      <c r="M466"/>
      <c r="N466" s="51" t="s">
        <v>1712</v>
      </c>
    </row>
    <row r="467" spans="1:14" x14ac:dyDescent="0.25">
      <c r="A467" s="84" t="s">
        <v>1170</v>
      </c>
      <c r="B467" t="s">
        <v>1298</v>
      </c>
      <c r="C467" s="14" t="s">
        <v>3</v>
      </c>
      <c r="D467" s="14" t="s">
        <v>362</v>
      </c>
      <c r="E467" s="2" t="s">
        <v>1709</v>
      </c>
      <c r="F467" t="s">
        <v>1614</v>
      </c>
      <c r="G467" s="2" t="s">
        <v>1443</v>
      </c>
      <c r="H467" t="s">
        <v>1713</v>
      </c>
      <c r="I467" s="2" t="s">
        <v>1044</v>
      </c>
      <c r="J467" s="2" t="s">
        <v>78</v>
      </c>
      <c r="K467"/>
      <c r="L467" t="s">
        <v>1706</v>
      </c>
      <c r="M467"/>
      <c r="N467" s="51" t="s">
        <v>1712</v>
      </c>
    </row>
    <row r="468" spans="1:14" x14ac:dyDescent="0.25">
      <c r="A468" s="84" t="s">
        <v>1170</v>
      </c>
      <c r="B468" t="s">
        <v>1298</v>
      </c>
      <c r="C468" s="14" t="s">
        <v>3</v>
      </c>
      <c r="D468" s="14" t="s">
        <v>362</v>
      </c>
      <c r="E468" s="2" t="s">
        <v>1710</v>
      </c>
      <c r="F468" t="s">
        <v>1711</v>
      </c>
      <c r="G468" s="2" t="s">
        <v>1445</v>
      </c>
      <c r="H468" t="s">
        <v>1711</v>
      </c>
      <c r="I468" s="2" t="s">
        <v>1044</v>
      </c>
      <c r="J468" s="2" t="s">
        <v>78</v>
      </c>
      <c r="K468"/>
      <c r="L468" t="s">
        <v>1706</v>
      </c>
      <c r="M468"/>
      <c r="N468" s="51" t="s">
        <v>1712</v>
      </c>
    </row>
    <row r="469" spans="1:14" x14ac:dyDescent="0.25">
      <c r="A469" s="84" t="s">
        <v>1171</v>
      </c>
      <c r="B469" t="s">
        <v>1298</v>
      </c>
      <c r="C469" s="14" t="s">
        <v>3</v>
      </c>
      <c r="D469" s="14" t="s">
        <v>362</v>
      </c>
      <c r="E469" s="2" t="s">
        <v>1052</v>
      </c>
      <c r="F469" t="s">
        <v>1722</v>
      </c>
      <c r="G469" s="2" t="s">
        <v>1220</v>
      </c>
      <c r="H469" t="s">
        <v>1722</v>
      </c>
      <c r="I469" s="2" t="s">
        <v>1044</v>
      </c>
      <c r="J469" s="2" t="s">
        <v>78</v>
      </c>
      <c r="K469"/>
      <c r="L469" t="s">
        <v>1722</v>
      </c>
      <c r="M469"/>
      <c r="N469" s="51" t="s">
        <v>1720</v>
      </c>
    </row>
    <row r="470" spans="1:14" x14ac:dyDescent="0.25">
      <c r="A470" s="84" t="s">
        <v>1171</v>
      </c>
      <c r="B470" t="s">
        <v>1298</v>
      </c>
      <c r="C470" s="14" t="s">
        <v>3</v>
      </c>
      <c r="D470" s="14" t="s">
        <v>362</v>
      </c>
      <c r="E470" s="2" t="s">
        <v>1709</v>
      </c>
      <c r="F470" t="s">
        <v>1652</v>
      </c>
      <c r="G470" s="2" t="s">
        <v>1443</v>
      </c>
      <c r="H470" t="s">
        <v>1724</v>
      </c>
      <c r="I470" s="2" t="s">
        <v>1044</v>
      </c>
      <c r="J470" s="2" t="s">
        <v>78</v>
      </c>
      <c r="K470"/>
      <c r="L470" t="s">
        <v>1722</v>
      </c>
      <c r="M470"/>
      <c r="N470" s="51" t="s">
        <v>1720</v>
      </c>
    </row>
    <row r="471" spans="1:14" x14ac:dyDescent="0.25">
      <c r="A471" s="84" t="s">
        <v>1171</v>
      </c>
      <c r="B471" t="s">
        <v>1298</v>
      </c>
      <c r="C471" s="14" t="s">
        <v>3</v>
      </c>
      <c r="D471" s="14" t="s">
        <v>362</v>
      </c>
      <c r="E471" s="2" t="s">
        <v>1710</v>
      </c>
      <c r="F471" t="s">
        <v>1723</v>
      </c>
      <c r="G471" s="2" t="s">
        <v>1445</v>
      </c>
      <c r="H471" t="s">
        <v>1723</v>
      </c>
      <c r="I471" s="2" t="s">
        <v>1044</v>
      </c>
      <c r="J471" s="2" t="s">
        <v>78</v>
      </c>
      <c r="K471"/>
      <c r="L471" t="s">
        <v>1722</v>
      </c>
      <c r="M471"/>
      <c r="N471" s="51" t="s">
        <v>1720</v>
      </c>
    </row>
    <row r="472" spans="1:14" x14ac:dyDescent="0.25">
      <c r="A472" s="84" t="s">
        <v>1172</v>
      </c>
      <c r="B472" t="s">
        <v>1298</v>
      </c>
      <c r="C472" s="14" t="s">
        <v>3</v>
      </c>
      <c r="D472" s="14" t="s">
        <v>362</v>
      </c>
      <c r="E472" s="2" t="s">
        <v>1052</v>
      </c>
      <c r="F472" t="s">
        <v>1737</v>
      </c>
      <c r="G472" s="2" t="s">
        <v>1220</v>
      </c>
      <c r="H472" t="s">
        <v>1737</v>
      </c>
      <c r="I472" s="2" t="s">
        <v>1044</v>
      </c>
      <c r="J472" s="2" t="s">
        <v>78</v>
      </c>
      <c r="K472"/>
      <c r="L472" t="s">
        <v>1737</v>
      </c>
      <c r="M472"/>
      <c r="N472" s="51" t="s">
        <v>1734</v>
      </c>
    </row>
    <row r="473" spans="1:14" x14ac:dyDescent="0.25">
      <c r="A473" s="84" t="s">
        <v>1172</v>
      </c>
      <c r="B473" t="s">
        <v>1298</v>
      </c>
      <c r="C473" s="14" t="s">
        <v>3</v>
      </c>
      <c r="D473" s="14" t="s">
        <v>362</v>
      </c>
      <c r="E473" s="2" t="s">
        <v>1709</v>
      </c>
      <c r="F473" t="s">
        <v>1640</v>
      </c>
      <c r="G473" s="2" t="s">
        <v>1443</v>
      </c>
      <c r="H473" t="s">
        <v>1739</v>
      </c>
      <c r="I473" s="2" t="s">
        <v>621</v>
      </c>
      <c r="J473" s="2" t="s">
        <v>78</v>
      </c>
      <c r="K473"/>
      <c r="L473" t="s">
        <v>1737</v>
      </c>
      <c r="M473"/>
      <c r="N473" s="51" t="s">
        <v>1734</v>
      </c>
    </row>
    <row r="474" spans="1:14" x14ac:dyDescent="0.25">
      <c r="A474" s="84" t="s">
        <v>1172</v>
      </c>
      <c r="B474" t="s">
        <v>1298</v>
      </c>
      <c r="C474" s="14" t="s">
        <v>3</v>
      </c>
      <c r="D474" s="14" t="s">
        <v>362</v>
      </c>
      <c r="E474" s="2" t="s">
        <v>1710</v>
      </c>
      <c r="F474" t="s">
        <v>1738</v>
      </c>
      <c r="G474" s="2" t="s">
        <v>1445</v>
      </c>
      <c r="H474" t="s">
        <v>1738</v>
      </c>
      <c r="I474" s="2" t="s">
        <v>1044</v>
      </c>
      <c r="J474" s="2" t="s">
        <v>78</v>
      </c>
      <c r="K474"/>
      <c r="L474" t="s">
        <v>1737</v>
      </c>
      <c r="M474"/>
      <c r="N474" s="51" t="s">
        <v>1734</v>
      </c>
    </row>
    <row r="475" spans="1:14" x14ac:dyDescent="0.25">
      <c r="A475" s="84" t="s">
        <v>1172</v>
      </c>
      <c r="B475" t="s">
        <v>1298</v>
      </c>
      <c r="C475" s="14" t="s">
        <v>3</v>
      </c>
      <c r="D475" s="14" t="s">
        <v>362</v>
      </c>
      <c r="E475" s="2" t="s">
        <v>1742</v>
      </c>
      <c r="F475" t="s">
        <v>60</v>
      </c>
      <c r="G475" s="2" t="s">
        <v>1743</v>
      </c>
      <c r="H475" t="s">
        <v>1745</v>
      </c>
      <c r="I475" s="2" t="s">
        <v>621</v>
      </c>
      <c r="J475" s="2" t="s">
        <v>78</v>
      </c>
      <c r="K475"/>
      <c r="L475" t="s">
        <v>1737</v>
      </c>
      <c r="M475"/>
      <c r="N475" s="51" t="s">
        <v>1744</v>
      </c>
    </row>
    <row r="476" spans="1:14" x14ac:dyDescent="0.25">
      <c r="A476" s="84" t="s">
        <v>1173</v>
      </c>
      <c r="B476" t="s">
        <v>1298</v>
      </c>
      <c r="C476" s="14" t="s">
        <v>3</v>
      </c>
      <c r="D476" s="14" t="s">
        <v>362</v>
      </c>
      <c r="E476" s="2" t="s">
        <v>1052</v>
      </c>
      <c r="F476" t="s">
        <v>1754</v>
      </c>
      <c r="G476" s="2" t="s">
        <v>1220</v>
      </c>
      <c r="H476" t="s">
        <v>1754</v>
      </c>
      <c r="I476" s="2" t="s">
        <v>1044</v>
      </c>
      <c r="J476" s="2" t="s">
        <v>78</v>
      </c>
      <c r="K476"/>
      <c r="L476" t="s">
        <v>1754</v>
      </c>
      <c r="M476"/>
      <c r="N476" s="51" t="s">
        <v>1753</v>
      </c>
    </row>
    <row r="477" spans="1:14" x14ac:dyDescent="0.25">
      <c r="A477" s="84" t="s">
        <v>1173</v>
      </c>
      <c r="B477" t="s">
        <v>1298</v>
      </c>
      <c r="C477" s="14" t="s">
        <v>3</v>
      </c>
      <c r="D477" s="14" t="s">
        <v>362</v>
      </c>
      <c r="E477" s="2" t="s">
        <v>1709</v>
      </c>
      <c r="F477" t="s">
        <v>1630</v>
      </c>
      <c r="G477" s="2" t="s">
        <v>1443</v>
      </c>
      <c r="H477" t="s">
        <v>1757</v>
      </c>
      <c r="I477" s="2" t="s">
        <v>1044</v>
      </c>
      <c r="J477" s="2" t="s">
        <v>78</v>
      </c>
      <c r="K477"/>
      <c r="L477" t="s">
        <v>1754</v>
      </c>
      <c r="M477"/>
      <c r="N477" s="51" t="s">
        <v>1753</v>
      </c>
    </row>
    <row r="478" spans="1:14" x14ac:dyDescent="0.25">
      <c r="A478" s="84" t="s">
        <v>1173</v>
      </c>
      <c r="B478" t="s">
        <v>1298</v>
      </c>
      <c r="C478" s="14" t="s">
        <v>3</v>
      </c>
      <c r="D478" s="14" t="s">
        <v>362</v>
      </c>
      <c r="E478" s="2" t="s">
        <v>1710</v>
      </c>
      <c r="F478" t="s">
        <v>1755</v>
      </c>
      <c r="G478" s="2" t="s">
        <v>1445</v>
      </c>
      <c r="H478" t="s">
        <v>1755</v>
      </c>
      <c r="I478" s="2" t="s">
        <v>1044</v>
      </c>
      <c r="J478" s="2" t="s">
        <v>78</v>
      </c>
      <c r="K478"/>
      <c r="L478" t="s">
        <v>1754</v>
      </c>
      <c r="M478"/>
      <c r="N478" s="51" t="s">
        <v>1753</v>
      </c>
    </row>
    <row r="479" spans="1:14" x14ac:dyDescent="0.25">
      <c r="A479" s="84" t="s">
        <v>1173</v>
      </c>
      <c r="B479" t="s">
        <v>1298</v>
      </c>
      <c r="C479" s="14" t="s">
        <v>3</v>
      </c>
      <c r="D479" s="14" t="s">
        <v>362</v>
      </c>
      <c r="E479" s="2" t="s">
        <v>1751</v>
      </c>
      <c r="F479" t="s">
        <v>1748</v>
      </c>
      <c r="G479" s="2" t="s">
        <v>1752</v>
      </c>
      <c r="H479" t="s">
        <v>1758</v>
      </c>
      <c r="I479" s="2" t="s">
        <v>383</v>
      </c>
      <c r="J479" s="2" t="s">
        <v>78</v>
      </c>
      <c r="K479"/>
      <c r="L479" t="s">
        <v>1754</v>
      </c>
      <c r="M479"/>
      <c r="N479" s="51" t="s">
        <v>1753</v>
      </c>
    </row>
    <row r="480" spans="1:14" x14ac:dyDescent="0.25">
      <c r="A480" s="84" t="s">
        <v>1227</v>
      </c>
      <c r="B480" t="s">
        <v>1298</v>
      </c>
      <c r="C480" s="14" t="s">
        <v>3</v>
      </c>
      <c r="D480" s="14" t="s">
        <v>362</v>
      </c>
      <c r="E480" s="2" t="s">
        <v>1052</v>
      </c>
      <c r="F480" t="s">
        <v>1766</v>
      </c>
      <c r="G480" s="2" t="s">
        <v>1220</v>
      </c>
      <c r="H480" t="s">
        <v>1766</v>
      </c>
      <c r="I480" s="2" t="s">
        <v>1044</v>
      </c>
      <c r="J480" s="2" t="s">
        <v>78</v>
      </c>
      <c r="K480"/>
      <c r="L480" t="s">
        <v>1766</v>
      </c>
      <c r="M480"/>
      <c r="N480" s="51" t="s">
        <v>1771</v>
      </c>
    </row>
    <row r="481" spans="1:14" x14ac:dyDescent="0.25">
      <c r="A481" s="84" t="s">
        <v>1227</v>
      </c>
      <c r="B481" t="s">
        <v>1298</v>
      </c>
      <c r="C481" s="14" t="s">
        <v>3</v>
      </c>
      <c r="D481" s="14" t="s">
        <v>362</v>
      </c>
      <c r="E481" s="2" t="s">
        <v>1709</v>
      </c>
      <c r="F481" t="s">
        <v>1640</v>
      </c>
      <c r="G481" s="2" t="s">
        <v>1443</v>
      </c>
      <c r="H481" t="s">
        <v>1739</v>
      </c>
      <c r="I481" s="2" t="s">
        <v>621</v>
      </c>
      <c r="J481" s="2" t="s">
        <v>78</v>
      </c>
      <c r="K481"/>
      <c r="L481" t="s">
        <v>1766</v>
      </c>
      <c r="M481"/>
      <c r="N481" s="51" t="s">
        <v>1771</v>
      </c>
    </row>
    <row r="482" spans="1:14" x14ac:dyDescent="0.25">
      <c r="A482" s="84" t="s">
        <v>1227</v>
      </c>
      <c r="B482" t="s">
        <v>1298</v>
      </c>
      <c r="C482" s="14" t="s">
        <v>3</v>
      </c>
      <c r="D482" s="14" t="s">
        <v>362</v>
      </c>
      <c r="E482" s="2" t="s">
        <v>1710</v>
      </c>
      <c r="F482" t="s">
        <v>1773</v>
      </c>
      <c r="G482" s="2" t="s">
        <v>1445</v>
      </c>
      <c r="H482" t="s">
        <v>1773</v>
      </c>
      <c r="I482" s="2" t="s">
        <v>1044</v>
      </c>
      <c r="J482" s="2" t="s">
        <v>78</v>
      </c>
      <c r="K482"/>
      <c r="L482" t="s">
        <v>1766</v>
      </c>
      <c r="M482"/>
      <c r="N482" s="51" t="s">
        <v>1771</v>
      </c>
    </row>
    <row r="483" spans="1:14" x14ac:dyDescent="0.25">
      <c r="A483" s="84" t="s">
        <v>1227</v>
      </c>
      <c r="B483" t="s">
        <v>1298</v>
      </c>
      <c r="C483" s="14" t="s">
        <v>3</v>
      </c>
      <c r="D483" s="14" t="s">
        <v>362</v>
      </c>
      <c r="E483" s="2" t="s">
        <v>1751</v>
      </c>
      <c r="F483" t="s">
        <v>1764</v>
      </c>
      <c r="G483" s="2" t="s">
        <v>1752</v>
      </c>
      <c r="H483" t="s">
        <v>1774</v>
      </c>
      <c r="I483" s="2" t="s">
        <v>1772</v>
      </c>
      <c r="J483" s="2" t="s">
        <v>78</v>
      </c>
      <c r="K483"/>
      <c r="L483" t="s">
        <v>1766</v>
      </c>
      <c r="M483"/>
      <c r="N483" s="51" t="s">
        <v>1771</v>
      </c>
    </row>
    <row r="484" spans="1:14" x14ac:dyDescent="0.25">
      <c r="A484" s="84" t="s">
        <v>1228</v>
      </c>
      <c r="B484" t="s">
        <v>1298</v>
      </c>
      <c r="C484" s="14" t="s">
        <v>3</v>
      </c>
      <c r="D484" s="14" t="s">
        <v>362</v>
      </c>
      <c r="E484" s="2" t="s">
        <v>1052</v>
      </c>
      <c r="F484" t="s">
        <v>1769</v>
      </c>
      <c r="G484" s="2" t="s">
        <v>1220</v>
      </c>
      <c r="H484" t="s">
        <v>1769</v>
      </c>
      <c r="I484" s="2" t="s">
        <v>1044</v>
      </c>
      <c r="J484" s="2" t="s">
        <v>78</v>
      </c>
      <c r="K484"/>
      <c r="L484" t="s">
        <v>1769</v>
      </c>
      <c r="M484"/>
      <c r="N484" s="51" t="s">
        <v>1771</v>
      </c>
    </row>
    <row r="485" spans="1:14" x14ac:dyDescent="0.25">
      <c r="A485" s="84" t="s">
        <v>1228</v>
      </c>
      <c r="B485" t="s">
        <v>1298</v>
      </c>
      <c r="C485" s="14" t="s">
        <v>3</v>
      </c>
      <c r="D485" s="14" t="s">
        <v>362</v>
      </c>
      <c r="E485" s="2" t="s">
        <v>1709</v>
      </c>
      <c r="F485" t="s">
        <v>1640</v>
      </c>
      <c r="G485" s="2" t="s">
        <v>1443</v>
      </c>
      <c r="H485" t="s">
        <v>1739</v>
      </c>
      <c r="I485" s="2" t="s">
        <v>621</v>
      </c>
      <c r="J485" s="2" t="s">
        <v>78</v>
      </c>
      <c r="K485"/>
      <c r="L485" t="s">
        <v>1769</v>
      </c>
      <c r="M485"/>
      <c r="N485" s="51" t="s">
        <v>1771</v>
      </c>
    </row>
    <row r="486" spans="1:14" x14ac:dyDescent="0.25">
      <c r="A486" s="84" t="s">
        <v>1228</v>
      </c>
      <c r="B486" t="s">
        <v>1298</v>
      </c>
      <c r="C486" s="14" t="s">
        <v>3</v>
      </c>
      <c r="D486" s="14" t="s">
        <v>362</v>
      </c>
      <c r="E486" s="2" t="s">
        <v>1710</v>
      </c>
      <c r="F486" t="s">
        <v>1775</v>
      </c>
      <c r="G486" s="2" t="s">
        <v>1445</v>
      </c>
      <c r="H486" t="s">
        <v>1775</v>
      </c>
      <c r="I486" s="2" t="s">
        <v>1044</v>
      </c>
      <c r="J486" s="2" t="s">
        <v>78</v>
      </c>
      <c r="K486"/>
      <c r="L486" t="s">
        <v>1769</v>
      </c>
      <c r="M486"/>
      <c r="N486" s="51" t="s">
        <v>1771</v>
      </c>
    </row>
    <row r="487" spans="1:14" x14ac:dyDescent="0.25">
      <c r="A487" s="84" t="s">
        <v>1228</v>
      </c>
      <c r="B487" t="s">
        <v>1298</v>
      </c>
      <c r="C487" s="14" t="s">
        <v>3</v>
      </c>
      <c r="D487" s="14" t="s">
        <v>362</v>
      </c>
      <c r="E487" s="2" t="s">
        <v>1751</v>
      </c>
      <c r="F487" t="s">
        <v>1767</v>
      </c>
      <c r="G487" s="2" t="s">
        <v>1752</v>
      </c>
      <c r="H487" t="s">
        <v>1776</v>
      </c>
      <c r="I487" s="2" t="s">
        <v>850</v>
      </c>
      <c r="J487" s="2" t="s">
        <v>78</v>
      </c>
      <c r="K487"/>
      <c r="L487" t="s">
        <v>1769</v>
      </c>
      <c r="M487"/>
      <c r="N487" s="51" t="s">
        <v>1771</v>
      </c>
    </row>
    <row r="488" spans="1:14" x14ac:dyDescent="0.25">
      <c r="A488" s="84" t="s">
        <v>1229</v>
      </c>
      <c r="B488" t="s">
        <v>1298</v>
      </c>
      <c r="C488" s="14" t="s">
        <v>3</v>
      </c>
      <c r="D488" s="14" t="s">
        <v>362</v>
      </c>
      <c r="E488" s="2" t="s">
        <v>1052</v>
      </c>
      <c r="F488" t="s">
        <v>1962</v>
      </c>
      <c r="G488" s="2" t="s">
        <v>1437</v>
      </c>
      <c r="H488" t="s">
        <v>1962</v>
      </c>
      <c r="I488" s="2" t="s">
        <v>383</v>
      </c>
      <c r="J488" s="2" t="s">
        <v>78</v>
      </c>
      <c r="K488"/>
      <c r="L488" t="s">
        <v>1962</v>
      </c>
      <c r="M488"/>
      <c r="N488" s="51" t="s">
        <v>1965</v>
      </c>
    </row>
    <row r="489" spans="1:14" x14ac:dyDescent="0.25">
      <c r="A489" s="84" t="s">
        <v>1229</v>
      </c>
      <c r="B489" t="s">
        <v>1298</v>
      </c>
      <c r="C489" s="14" t="s">
        <v>3</v>
      </c>
      <c r="D489" s="14" t="s">
        <v>362</v>
      </c>
      <c r="E489" s="2" t="s">
        <v>525</v>
      </c>
      <c r="F489" t="s">
        <v>1477</v>
      </c>
      <c r="G489" s="2" t="s">
        <v>1444</v>
      </c>
      <c r="H489" t="s">
        <v>1477</v>
      </c>
      <c r="I489" s="2" t="s">
        <v>383</v>
      </c>
      <c r="J489" s="2" t="s">
        <v>78</v>
      </c>
      <c r="K489"/>
      <c r="L489" t="s">
        <v>1962</v>
      </c>
      <c r="M489"/>
      <c r="N489" s="51" t="s">
        <v>1965</v>
      </c>
    </row>
    <row r="490" spans="1:14" x14ac:dyDescent="0.25">
      <c r="A490" s="84" t="s">
        <v>1229</v>
      </c>
      <c r="B490" t="s">
        <v>1298</v>
      </c>
      <c r="C490" s="14" t="s">
        <v>3</v>
      </c>
      <c r="D490" s="14" t="s">
        <v>362</v>
      </c>
      <c r="E490" s="2" t="s">
        <v>526</v>
      </c>
      <c r="F490" t="s">
        <v>1963</v>
      </c>
      <c r="G490" s="2" t="s">
        <v>1443</v>
      </c>
      <c r="H490" t="s">
        <v>1966</v>
      </c>
      <c r="I490" s="2" t="s">
        <v>850</v>
      </c>
      <c r="J490" s="2" t="s">
        <v>78</v>
      </c>
      <c r="K490"/>
      <c r="L490" t="s">
        <v>1962</v>
      </c>
      <c r="M490"/>
      <c r="N490" s="51" t="s">
        <v>1965</v>
      </c>
    </row>
    <row r="491" spans="1:14" x14ac:dyDescent="0.25">
      <c r="A491" s="84" t="s">
        <v>1229</v>
      </c>
      <c r="B491" t="s">
        <v>1298</v>
      </c>
      <c r="C491" s="14" t="s">
        <v>3</v>
      </c>
      <c r="D491" s="14" t="s">
        <v>362</v>
      </c>
      <c r="E491" s="2" t="s">
        <v>613</v>
      </c>
      <c r="F491" t="s">
        <v>1964</v>
      </c>
      <c r="G491" s="2" t="s">
        <v>1445</v>
      </c>
      <c r="H491" t="s">
        <v>1967</v>
      </c>
      <c r="I491" s="2" t="s">
        <v>1044</v>
      </c>
      <c r="J491" s="2" t="s">
        <v>78</v>
      </c>
      <c r="K491"/>
      <c r="L491" t="s">
        <v>1962</v>
      </c>
      <c r="M491"/>
      <c r="N491" s="51" t="s">
        <v>1965</v>
      </c>
    </row>
    <row r="492" spans="1:14" x14ac:dyDescent="0.25">
      <c r="A492" s="84" t="s">
        <v>1230</v>
      </c>
      <c r="B492" t="s">
        <v>1298</v>
      </c>
      <c r="C492" s="14" t="s">
        <v>3</v>
      </c>
      <c r="D492" s="14" t="s">
        <v>362</v>
      </c>
      <c r="E492" s="2" t="s">
        <v>1052</v>
      </c>
      <c r="F492" t="s">
        <v>1969</v>
      </c>
      <c r="G492" s="2" t="s">
        <v>1437</v>
      </c>
      <c r="H492" t="s">
        <v>1969</v>
      </c>
      <c r="I492" s="2" t="s">
        <v>383</v>
      </c>
      <c r="J492" s="2" t="s">
        <v>78</v>
      </c>
      <c r="K492"/>
      <c r="L492" t="s">
        <v>1969</v>
      </c>
      <c r="M492"/>
      <c r="N492" s="51" t="s">
        <v>1968</v>
      </c>
    </row>
    <row r="493" spans="1:14" x14ac:dyDescent="0.25">
      <c r="A493" s="84" t="s">
        <v>1230</v>
      </c>
      <c r="B493" t="s">
        <v>1298</v>
      </c>
      <c r="C493" s="14" t="s">
        <v>3</v>
      </c>
      <c r="D493" s="14" t="s">
        <v>362</v>
      </c>
      <c r="E493" s="2" t="s">
        <v>525</v>
      </c>
      <c r="F493" t="s">
        <v>1319</v>
      </c>
      <c r="G493" s="2" t="s">
        <v>1444</v>
      </c>
      <c r="H493" t="s">
        <v>1319</v>
      </c>
      <c r="I493" s="2" t="s">
        <v>383</v>
      </c>
      <c r="J493" s="2" t="s">
        <v>78</v>
      </c>
      <c r="K493"/>
      <c r="L493" t="s">
        <v>1969</v>
      </c>
      <c r="M493"/>
      <c r="N493" s="51" t="s">
        <v>1968</v>
      </c>
    </row>
    <row r="494" spans="1:14" x14ac:dyDescent="0.25">
      <c r="A494" s="84" t="s">
        <v>1230</v>
      </c>
      <c r="B494" t="s">
        <v>1298</v>
      </c>
      <c r="C494" s="14" t="s">
        <v>3</v>
      </c>
      <c r="D494" s="14" t="s">
        <v>362</v>
      </c>
      <c r="E494" s="2" t="s">
        <v>526</v>
      </c>
      <c r="F494" t="s">
        <v>1963</v>
      </c>
      <c r="G494" s="2" t="s">
        <v>1443</v>
      </c>
      <c r="H494" t="s">
        <v>1966</v>
      </c>
      <c r="I494" s="2" t="s">
        <v>850</v>
      </c>
      <c r="J494" s="2" t="s">
        <v>78</v>
      </c>
      <c r="K494"/>
      <c r="L494" t="s">
        <v>1969</v>
      </c>
      <c r="M494"/>
      <c r="N494" s="51" t="s">
        <v>1968</v>
      </c>
    </row>
    <row r="495" spans="1:14" x14ac:dyDescent="0.25">
      <c r="A495" s="84" t="s">
        <v>1230</v>
      </c>
      <c r="B495" t="s">
        <v>1298</v>
      </c>
      <c r="C495" s="14" t="s">
        <v>3</v>
      </c>
      <c r="D495" s="14" t="s">
        <v>362</v>
      </c>
      <c r="E495" s="2" t="s">
        <v>613</v>
      </c>
      <c r="F495" t="s">
        <v>1970</v>
      </c>
      <c r="G495" s="2" t="s">
        <v>1445</v>
      </c>
      <c r="H495" t="s">
        <v>1971</v>
      </c>
      <c r="I495" s="2" t="s">
        <v>1044</v>
      </c>
      <c r="J495" s="2" t="s">
        <v>78</v>
      </c>
      <c r="K495"/>
      <c r="L495" t="s">
        <v>1969</v>
      </c>
      <c r="M495"/>
      <c r="N495" s="51" t="s">
        <v>1968</v>
      </c>
    </row>
    <row r="496" spans="1:14" x14ac:dyDescent="0.25">
      <c r="A496" s="84" t="s">
        <v>1231</v>
      </c>
      <c r="B496" t="s">
        <v>1298</v>
      </c>
      <c r="C496" s="14" t="s">
        <v>3</v>
      </c>
      <c r="D496" s="14" t="s">
        <v>362</v>
      </c>
      <c r="E496" s="2" t="s">
        <v>1052</v>
      </c>
      <c r="F496" t="s">
        <v>2129</v>
      </c>
      <c r="G496" s="2" t="s">
        <v>1220</v>
      </c>
      <c r="H496" t="s">
        <v>2129</v>
      </c>
      <c r="I496" s="2" t="s">
        <v>1044</v>
      </c>
      <c r="J496" s="2" t="s">
        <v>78</v>
      </c>
      <c r="K496"/>
      <c r="L496" t="s">
        <v>2129</v>
      </c>
      <c r="M496"/>
      <c r="N496" s="51" t="s">
        <v>1712</v>
      </c>
    </row>
    <row r="497" spans="1:14" x14ac:dyDescent="0.25">
      <c r="A497" s="84" t="s">
        <v>1231</v>
      </c>
      <c r="B497" t="s">
        <v>1298</v>
      </c>
      <c r="C497" s="14" t="s">
        <v>3</v>
      </c>
      <c r="D497" s="14" t="s">
        <v>362</v>
      </c>
      <c r="E497" s="2" t="s">
        <v>1709</v>
      </c>
      <c r="F497" t="s">
        <v>1614</v>
      </c>
      <c r="G497" s="2" t="s">
        <v>1443</v>
      </c>
      <c r="H497" t="s">
        <v>1713</v>
      </c>
      <c r="I497" s="2" t="s">
        <v>1044</v>
      </c>
      <c r="J497" s="2" t="s">
        <v>78</v>
      </c>
      <c r="K497"/>
      <c r="L497" t="s">
        <v>2129</v>
      </c>
      <c r="M497"/>
      <c r="N497" s="51" t="s">
        <v>1712</v>
      </c>
    </row>
    <row r="498" spans="1:14" x14ac:dyDescent="0.25">
      <c r="A498" s="84" t="s">
        <v>1231</v>
      </c>
      <c r="B498" t="s">
        <v>1298</v>
      </c>
      <c r="C498" s="14" t="s">
        <v>3</v>
      </c>
      <c r="D498" s="14" t="s">
        <v>362</v>
      </c>
      <c r="E498" s="2" t="s">
        <v>1710</v>
      </c>
      <c r="F498" t="s">
        <v>2131</v>
      </c>
      <c r="G498" s="2" t="s">
        <v>1445</v>
      </c>
      <c r="H498" t="s">
        <v>2131</v>
      </c>
      <c r="I498" s="2" t="s">
        <v>1044</v>
      </c>
      <c r="J498" s="2" t="s">
        <v>78</v>
      </c>
      <c r="K498"/>
      <c r="L498" t="s">
        <v>2129</v>
      </c>
      <c r="M498"/>
      <c r="N498" s="51" t="s">
        <v>1712</v>
      </c>
    </row>
    <row r="499" spans="1:14" x14ac:dyDescent="0.25">
      <c r="A499" s="84" t="s">
        <v>1359</v>
      </c>
      <c r="B499" t="s">
        <v>1298</v>
      </c>
      <c r="C499" s="14" t="s">
        <v>3</v>
      </c>
      <c r="D499" s="14" t="s">
        <v>362</v>
      </c>
      <c r="E499" s="2" t="s">
        <v>1052</v>
      </c>
      <c r="F499" t="s">
        <v>2136</v>
      </c>
      <c r="G499" s="2" t="s">
        <v>1220</v>
      </c>
      <c r="H499" t="s">
        <v>2136</v>
      </c>
      <c r="I499" s="2" t="s">
        <v>1044</v>
      </c>
      <c r="J499" s="2" t="s">
        <v>78</v>
      </c>
      <c r="K499"/>
      <c r="L499" t="s">
        <v>2136</v>
      </c>
      <c r="M499"/>
      <c r="N499" s="51" t="s">
        <v>1720</v>
      </c>
    </row>
    <row r="500" spans="1:14" x14ac:dyDescent="0.25">
      <c r="A500" s="84" t="s">
        <v>1359</v>
      </c>
      <c r="B500" t="s">
        <v>1298</v>
      </c>
      <c r="C500" s="14" t="s">
        <v>3</v>
      </c>
      <c r="D500" s="14" t="s">
        <v>362</v>
      </c>
      <c r="E500" s="2" t="s">
        <v>1709</v>
      </c>
      <c r="F500" t="s">
        <v>1652</v>
      </c>
      <c r="G500" s="2" t="s">
        <v>1443</v>
      </c>
      <c r="H500" t="s">
        <v>1724</v>
      </c>
      <c r="I500" s="2" t="s">
        <v>1044</v>
      </c>
      <c r="J500" s="2" t="s">
        <v>78</v>
      </c>
      <c r="K500"/>
      <c r="L500" t="s">
        <v>2136</v>
      </c>
      <c r="M500"/>
      <c r="N500" s="51" t="s">
        <v>1720</v>
      </c>
    </row>
    <row r="501" spans="1:14" x14ac:dyDescent="0.25">
      <c r="A501" s="84" t="s">
        <v>1359</v>
      </c>
      <c r="B501" t="s">
        <v>1298</v>
      </c>
      <c r="C501" s="14" t="s">
        <v>3</v>
      </c>
      <c r="D501" s="14" t="s">
        <v>362</v>
      </c>
      <c r="E501" s="2" t="s">
        <v>1710</v>
      </c>
      <c r="F501" t="s">
        <v>2137</v>
      </c>
      <c r="G501" s="2" t="s">
        <v>1445</v>
      </c>
      <c r="H501" t="s">
        <v>2137</v>
      </c>
      <c r="I501" s="2" t="s">
        <v>1044</v>
      </c>
      <c r="J501" s="2" t="s">
        <v>78</v>
      </c>
      <c r="K501"/>
      <c r="L501" t="s">
        <v>2136</v>
      </c>
      <c r="M501"/>
      <c r="N501" s="51" t="s">
        <v>1720</v>
      </c>
    </row>
    <row r="502" spans="1:14" x14ac:dyDescent="0.25">
      <c r="A502" s="84" t="s">
        <v>2016</v>
      </c>
      <c r="B502" t="s">
        <v>1298</v>
      </c>
      <c r="C502" s="14" t="s">
        <v>3</v>
      </c>
      <c r="D502" s="14" t="s">
        <v>362</v>
      </c>
      <c r="E502" s="2" t="s">
        <v>1052</v>
      </c>
      <c r="F502" t="s">
        <v>2141</v>
      </c>
      <c r="G502" s="2" t="s">
        <v>1220</v>
      </c>
      <c r="H502" t="s">
        <v>2141</v>
      </c>
      <c r="I502" s="2" t="s">
        <v>1044</v>
      </c>
      <c r="J502" s="2" t="s">
        <v>78</v>
      </c>
      <c r="K502"/>
      <c r="L502" t="s">
        <v>2141</v>
      </c>
      <c r="M502"/>
      <c r="N502" s="51" t="s">
        <v>1734</v>
      </c>
    </row>
    <row r="503" spans="1:14" x14ac:dyDescent="0.25">
      <c r="A503" s="84" t="s">
        <v>2016</v>
      </c>
      <c r="B503" t="s">
        <v>1298</v>
      </c>
      <c r="C503" s="14" t="s">
        <v>3</v>
      </c>
      <c r="D503" s="14" t="s">
        <v>362</v>
      </c>
      <c r="E503" s="2" t="s">
        <v>1709</v>
      </c>
      <c r="F503" t="s">
        <v>1640</v>
      </c>
      <c r="G503" s="2" t="s">
        <v>1443</v>
      </c>
      <c r="H503" t="s">
        <v>1739</v>
      </c>
      <c r="I503" s="2" t="s">
        <v>621</v>
      </c>
      <c r="J503" s="2" t="s">
        <v>78</v>
      </c>
      <c r="K503"/>
      <c r="L503" t="s">
        <v>2141</v>
      </c>
      <c r="M503"/>
      <c r="N503" s="51" t="s">
        <v>1734</v>
      </c>
    </row>
    <row r="504" spans="1:14" x14ac:dyDescent="0.25">
      <c r="A504" s="84" t="s">
        <v>2016</v>
      </c>
      <c r="B504" t="s">
        <v>1298</v>
      </c>
      <c r="C504" s="14" t="s">
        <v>3</v>
      </c>
      <c r="D504" s="14" t="s">
        <v>362</v>
      </c>
      <c r="E504" s="2" t="s">
        <v>1710</v>
      </c>
      <c r="F504" t="s">
        <v>2143</v>
      </c>
      <c r="G504" s="2" t="s">
        <v>1445</v>
      </c>
      <c r="H504" t="s">
        <v>2143</v>
      </c>
      <c r="I504" s="2" t="s">
        <v>1044</v>
      </c>
      <c r="J504" s="2" t="s">
        <v>78</v>
      </c>
      <c r="K504"/>
      <c r="L504" t="s">
        <v>2141</v>
      </c>
      <c r="M504"/>
      <c r="N504" s="51" t="s">
        <v>1734</v>
      </c>
    </row>
    <row r="505" spans="1:14" x14ac:dyDescent="0.25">
      <c r="A505" s="84" t="s">
        <v>2016</v>
      </c>
      <c r="B505" t="s">
        <v>1298</v>
      </c>
      <c r="C505" s="14" t="s">
        <v>3</v>
      </c>
      <c r="D505" s="14" t="s">
        <v>362</v>
      </c>
      <c r="E505" s="2" t="s">
        <v>1742</v>
      </c>
      <c r="F505" t="s">
        <v>60</v>
      </c>
      <c r="G505" s="2" t="s">
        <v>1743</v>
      </c>
      <c r="H505" t="s">
        <v>1745</v>
      </c>
      <c r="I505" s="2" t="s">
        <v>621</v>
      </c>
      <c r="J505" s="2" t="s">
        <v>78</v>
      </c>
      <c r="K505"/>
      <c r="L505" t="s">
        <v>2141</v>
      </c>
      <c r="M505"/>
      <c r="N505" s="51" t="s">
        <v>1744</v>
      </c>
    </row>
    <row r="506" spans="1:14" x14ac:dyDescent="0.25">
      <c r="A506" s="84" t="s">
        <v>2017</v>
      </c>
      <c r="B506" t="s">
        <v>1298</v>
      </c>
      <c r="C506" s="14" t="s">
        <v>3</v>
      </c>
      <c r="D506" s="14" t="s">
        <v>362</v>
      </c>
      <c r="E506" s="2" t="s">
        <v>1052</v>
      </c>
      <c r="F506" t="s">
        <v>2151</v>
      </c>
      <c r="G506" s="2" t="s">
        <v>1220</v>
      </c>
      <c r="H506" t="s">
        <v>2151</v>
      </c>
      <c r="I506" s="2" t="s">
        <v>1044</v>
      </c>
      <c r="J506" s="2" t="s">
        <v>78</v>
      </c>
      <c r="K506"/>
      <c r="L506" t="s">
        <v>2151</v>
      </c>
      <c r="M506"/>
      <c r="N506" s="51" t="s">
        <v>1753</v>
      </c>
    </row>
    <row r="507" spans="1:14" x14ac:dyDescent="0.25">
      <c r="A507" s="84" t="s">
        <v>2017</v>
      </c>
      <c r="B507" t="s">
        <v>1298</v>
      </c>
      <c r="C507" s="14" t="s">
        <v>3</v>
      </c>
      <c r="D507" s="14" t="s">
        <v>362</v>
      </c>
      <c r="E507" s="2" t="s">
        <v>1709</v>
      </c>
      <c r="F507" t="s">
        <v>1630</v>
      </c>
      <c r="G507" s="2" t="s">
        <v>1443</v>
      </c>
      <c r="H507" t="s">
        <v>1757</v>
      </c>
      <c r="I507" s="2" t="s">
        <v>1044</v>
      </c>
      <c r="J507" s="2" t="s">
        <v>78</v>
      </c>
      <c r="K507"/>
      <c r="L507" t="s">
        <v>2151</v>
      </c>
      <c r="M507"/>
      <c r="N507" s="51" t="s">
        <v>1753</v>
      </c>
    </row>
    <row r="508" spans="1:14" x14ac:dyDescent="0.25">
      <c r="A508" s="84" t="s">
        <v>2017</v>
      </c>
      <c r="B508" t="s">
        <v>1298</v>
      </c>
      <c r="C508" s="14" t="s">
        <v>3</v>
      </c>
      <c r="D508" s="14" t="s">
        <v>362</v>
      </c>
      <c r="E508" s="2" t="s">
        <v>1710</v>
      </c>
      <c r="F508" t="s">
        <v>2152</v>
      </c>
      <c r="G508" s="2" t="s">
        <v>1445</v>
      </c>
      <c r="H508" t="s">
        <v>2152</v>
      </c>
      <c r="I508" s="2" t="s">
        <v>1044</v>
      </c>
      <c r="J508" s="2" t="s">
        <v>78</v>
      </c>
      <c r="K508"/>
      <c r="L508" t="s">
        <v>2151</v>
      </c>
      <c r="M508"/>
      <c r="N508" s="51" t="s">
        <v>1753</v>
      </c>
    </row>
    <row r="509" spans="1:14" x14ac:dyDescent="0.25">
      <c r="A509" s="84" t="s">
        <v>2017</v>
      </c>
      <c r="B509" t="s">
        <v>1298</v>
      </c>
      <c r="C509" s="14" t="s">
        <v>3</v>
      </c>
      <c r="D509" s="14" t="s">
        <v>362</v>
      </c>
      <c r="E509" s="2" t="s">
        <v>1751</v>
      </c>
      <c r="F509" t="s">
        <v>1748</v>
      </c>
      <c r="G509" s="2" t="s">
        <v>1752</v>
      </c>
      <c r="H509" t="s">
        <v>1758</v>
      </c>
      <c r="I509" s="2" t="s">
        <v>383</v>
      </c>
      <c r="J509" s="2" t="s">
        <v>78</v>
      </c>
      <c r="K509"/>
      <c r="L509" t="s">
        <v>2151</v>
      </c>
      <c r="M509"/>
      <c r="N509" s="51" t="s">
        <v>1753</v>
      </c>
    </row>
    <row r="510" spans="1:14" x14ac:dyDescent="0.25">
      <c r="A510" s="84" t="s">
        <v>2018</v>
      </c>
      <c r="B510" t="s">
        <v>1298</v>
      </c>
      <c r="C510" s="14" t="s">
        <v>3</v>
      </c>
      <c r="D510" s="14" t="s">
        <v>362</v>
      </c>
      <c r="E510" s="2" t="s">
        <v>1052</v>
      </c>
      <c r="F510" t="s">
        <v>2156</v>
      </c>
      <c r="G510" s="2" t="s">
        <v>1220</v>
      </c>
      <c r="H510" t="s">
        <v>2156</v>
      </c>
      <c r="I510" s="2" t="s">
        <v>1044</v>
      </c>
      <c r="J510" s="2" t="s">
        <v>78</v>
      </c>
      <c r="K510"/>
      <c r="L510" t="s">
        <v>2156</v>
      </c>
      <c r="M510"/>
      <c r="N510" s="51" t="s">
        <v>1771</v>
      </c>
    </row>
    <row r="511" spans="1:14" x14ac:dyDescent="0.25">
      <c r="A511" s="84" t="s">
        <v>2018</v>
      </c>
      <c r="B511" t="s">
        <v>1298</v>
      </c>
      <c r="C511" s="14" t="s">
        <v>3</v>
      </c>
      <c r="D511" s="14" t="s">
        <v>362</v>
      </c>
      <c r="E511" s="2" t="s">
        <v>1709</v>
      </c>
      <c r="F511" t="s">
        <v>1640</v>
      </c>
      <c r="G511" s="2" t="s">
        <v>1443</v>
      </c>
      <c r="H511" t="s">
        <v>1739</v>
      </c>
      <c r="I511" s="2" t="s">
        <v>621</v>
      </c>
      <c r="J511" s="2" t="s">
        <v>78</v>
      </c>
      <c r="K511"/>
      <c r="L511" t="s">
        <v>2156</v>
      </c>
      <c r="M511"/>
      <c r="N511" s="51" t="s">
        <v>1771</v>
      </c>
    </row>
    <row r="512" spans="1:14" x14ac:dyDescent="0.25">
      <c r="A512" s="84" t="s">
        <v>2018</v>
      </c>
      <c r="B512" t="s">
        <v>1298</v>
      </c>
      <c r="C512" s="14" t="s">
        <v>3</v>
      </c>
      <c r="D512" s="14" t="s">
        <v>362</v>
      </c>
      <c r="E512" s="2" t="s">
        <v>1710</v>
      </c>
      <c r="F512" t="s">
        <v>2157</v>
      </c>
      <c r="G512" s="2" t="s">
        <v>1445</v>
      </c>
      <c r="H512" t="s">
        <v>2157</v>
      </c>
      <c r="I512" s="2" t="s">
        <v>1044</v>
      </c>
      <c r="J512" s="2" t="s">
        <v>78</v>
      </c>
      <c r="K512"/>
      <c r="L512" t="s">
        <v>2156</v>
      </c>
      <c r="M512"/>
      <c r="N512" s="51" t="s">
        <v>1771</v>
      </c>
    </row>
    <row r="513" spans="1:14" x14ac:dyDescent="0.25">
      <c r="A513" s="84" t="s">
        <v>2018</v>
      </c>
      <c r="B513" t="s">
        <v>1298</v>
      </c>
      <c r="C513" s="14" t="s">
        <v>3</v>
      </c>
      <c r="D513" s="14" t="s">
        <v>362</v>
      </c>
      <c r="E513" s="2" t="s">
        <v>1751</v>
      </c>
      <c r="F513" t="s">
        <v>1764</v>
      </c>
      <c r="G513" s="2" t="s">
        <v>1752</v>
      </c>
      <c r="H513" t="s">
        <v>1774</v>
      </c>
      <c r="I513" s="2" t="s">
        <v>1772</v>
      </c>
      <c r="J513" s="2" t="s">
        <v>78</v>
      </c>
      <c r="K513"/>
      <c r="L513" t="s">
        <v>2156</v>
      </c>
      <c r="M513"/>
      <c r="N513" s="51" t="s">
        <v>1771</v>
      </c>
    </row>
    <row r="514" spans="1:14" x14ac:dyDescent="0.25">
      <c r="A514" s="84" t="s">
        <v>2019</v>
      </c>
      <c r="B514" t="s">
        <v>1298</v>
      </c>
      <c r="C514" s="14" t="s">
        <v>3</v>
      </c>
      <c r="D514" s="14" t="s">
        <v>362</v>
      </c>
      <c r="E514" s="2" t="s">
        <v>1052</v>
      </c>
      <c r="F514" t="s">
        <v>2161</v>
      </c>
      <c r="G514" s="2" t="s">
        <v>1220</v>
      </c>
      <c r="H514" t="s">
        <v>2161</v>
      </c>
      <c r="I514" s="2" t="s">
        <v>1044</v>
      </c>
      <c r="J514" s="2" t="s">
        <v>78</v>
      </c>
      <c r="K514"/>
      <c r="L514" t="s">
        <v>2161</v>
      </c>
      <c r="M514"/>
      <c r="N514" s="51" t="s">
        <v>1771</v>
      </c>
    </row>
    <row r="515" spans="1:14" x14ac:dyDescent="0.25">
      <c r="A515" s="84" t="s">
        <v>2019</v>
      </c>
      <c r="B515" t="s">
        <v>1298</v>
      </c>
      <c r="C515" s="14" t="s">
        <v>3</v>
      </c>
      <c r="D515" s="14" t="s">
        <v>362</v>
      </c>
      <c r="E515" s="2" t="s">
        <v>1709</v>
      </c>
      <c r="F515" t="s">
        <v>1640</v>
      </c>
      <c r="G515" s="2" t="s">
        <v>1443</v>
      </c>
      <c r="H515" t="s">
        <v>1739</v>
      </c>
      <c r="I515" s="2" t="s">
        <v>621</v>
      </c>
      <c r="J515" s="2" t="s">
        <v>78</v>
      </c>
      <c r="K515"/>
      <c r="L515" t="s">
        <v>2161</v>
      </c>
      <c r="M515"/>
      <c r="N515" s="51" t="s">
        <v>1771</v>
      </c>
    </row>
    <row r="516" spans="1:14" x14ac:dyDescent="0.25">
      <c r="A516" s="84" t="s">
        <v>2019</v>
      </c>
      <c r="B516" t="s">
        <v>1298</v>
      </c>
      <c r="C516" s="14" t="s">
        <v>3</v>
      </c>
      <c r="D516" s="14" t="s">
        <v>362</v>
      </c>
      <c r="E516" s="2" t="s">
        <v>1710</v>
      </c>
      <c r="F516" t="s">
        <v>2162</v>
      </c>
      <c r="G516" s="2" t="s">
        <v>1445</v>
      </c>
      <c r="H516" t="s">
        <v>2162</v>
      </c>
      <c r="I516" s="2" t="s">
        <v>1044</v>
      </c>
      <c r="J516" s="2" t="s">
        <v>78</v>
      </c>
      <c r="K516"/>
      <c r="L516" t="s">
        <v>2161</v>
      </c>
      <c r="M516"/>
      <c r="N516" s="51" t="s">
        <v>1771</v>
      </c>
    </row>
    <row r="517" spans="1:14" x14ac:dyDescent="0.25">
      <c r="A517" s="84" t="s">
        <v>2019</v>
      </c>
      <c r="B517" t="s">
        <v>1298</v>
      </c>
      <c r="C517" s="14" t="s">
        <v>3</v>
      </c>
      <c r="D517" s="14" t="s">
        <v>362</v>
      </c>
      <c r="E517" s="2" t="s">
        <v>1751</v>
      </c>
      <c r="F517" t="s">
        <v>1767</v>
      </c>
      <c r="G517" s="2" t="s">
        <v>1752</v>
      </c>
      <c r="H517" t="s">
        <v>1776</v>
      </c>
      <c r="I517" s="2" t="s">
        <v>850</v>
      </c>
      <c r="J517" s="2" t="s">
        <v>78</v>
      </c>
      <c r="K517"/>
      <c r="L517" t="s">
        <v>2161</v>
      </c>
      <c r="M517"/>
      <c r="N517" s="51" t="s">
        <v>1771</v>
      </c>
    </row>
    <row r="518" spans="1:14" x14ac:dyDescent="0.25">
      <c r="A518" s="84" t="s">
        <v>2020</v>
      </c>
      <c r="B518" t="s">
        <v>1298</v>
      </c>
      <c r="C518" s="14" t="s">
        <v>3</v>
      </c>
      <c r="D518" s="14" t="s">
        <v>362</v>
      </c>
      <c r="E518" s="2" t="s">
        <v>1052</v>
      </c>
      <c r="F518" t="s">
        <v>2168</v>
      </c>
      <c r="G518" s="2" t="s">
        <v>1437</v>
      </c>
      <c r="H518" t="s">
        <v>2168</v>
      </c>
      <c r="I518" s="2" t="s">
        <v>383</v>
      </c>
      <c r="J518" s="2" t="s">
        <v>78</v>
      </c>
      <c r="K518"/>
      <c r="L518" t="s">
        <v>2168</v>
      </c>
      <c r="M518"/>
      <c r="N518" s="51" t="s">
        <v>1965</v>
      </c>
    </row>
    <row r="519" spans="1:14" x14ac:dyDescent="0.25">
      <c r="A519" s="84" t="s">
        <v>2020</v>
      </c>
      <c r="B519" t="s">
        <v>1298</v>
      </c>
      <c r="C519" s="14" t="s">
        <v>3</v>
      </c>
      <c r="D519" s="14" t="s">
        <v>362</v>
      </c>
      <c r="E519" s="2" t="s">
        <v>525</v>
      </c>
      <c r="F519" t="s">
        <v>1477</v>
      </c>
      <c r="G519" s="2" t="s">
        <v>1444</v>
      </c>
      <c r="H519" t="s">
        <v>1477</v>
      </c>
      <c r="I519" s="2" t="s">
        <v>383</v>
      </c>
      <c r="J519" s="2" t="s">
        <v>78</v>
      </c>
      <c r="K519"/>
      <c r="L519" t="s">
        <v>2168</v>
      </c>
      <c r="M519"/>
      <c r="N519" s="51" t="s">
        <v>1965</v>
      </c>
    </row>
    <row r="520" spans="1:14" x14ac:dyDescent="0.25">
      <c r="A520" s="84" t="s">
        <v>2020</v>
      </c>
      <c r="B520" t="s">
        <v>1298</v>
      </c>
      <c r="C520" s="14" t="s">
        <v>3</v>
      </c>
      <c r="D520" s="14" t="s">
        <v>362</v>
      </c>
      <c r="E520" s="2" t="s">
        <v>526</v>
      </c>
      <c r="F520" t="s">
        <v>1963</v>
      </c>
      <c r="G520" s="2" t="s">
        <v>1443</v>
      </c>
      <c r="H520" t="s">
        <v>1966</v>
      </c>
      <c r="I520" s="2" t="s">
        <v>850</v>
      </c>
      <c r="J520" s="2" t="s">
        <v>78</v>
      </c>
      <c r="K520"/>
      <c r="L520" t="s">
        <v>2168</v>
      </c>
      <c r="M520"/>
      <c r="N520" s="51" t="s">
        <v>1965</v>
      </c>
    </row>
    <row r="521" spans="1:14" x14ac:dyDescent="0.25">
      <c r="A521" s="84" t="s">
        <v>2020</v>
      </c>
      <c r="B521" t="s">
        <v>1298</v>
      </c>
      <c r="C521" s="14" t="s">
        <v>3</v>
      </c>
      <c r="D521" s="14" t="s">
        <v>362</v>
      </c>
      <c r="E521" s="2" t="s">
        <v>613</v>
      </c>
      <c r="F521" t="s">
        <v>2169</v>
      </c>
      <c r="G521" s="2" t="s">
        <v>1445</v>
      </c>
      <c r="H521" t="s">
        <v>2170</v>
      </c>
      <c r="I521" s="2" t="s">
        <v>1044</v>
      </c>
      <c r="J521" s="2" t="s">
        <v>78</v>
      </c>
      <c r="K521"/>
      <c r="L521" t="s">
        <v>2168</v>
      </c>
      <c r="M521"/>
      <c r="N521" s="51" t="s">
        <v>1965</v>
      </c>
    </row>
    <row r="522" spans="1:14" x14ac:dyDescent="0.25">
      <c r="A522" s="84" t="s">
        <v>2021</v>
      </c>
      <c r="B522" t="s">
        <v>1298</v>
      </c>
      <c r="C522" s="14" t="s">
        <v>3</v>
      </c>
      <c r="D522" s="14" t="s">
        <v>362</v>
      </c>
      <c r="E522" s="2" t="s">
        <v>1052</v>
      </c>
      <c r="F522" t="s">
        <v>2172</v>
      </c>
      <c r="G522" s="2" t="s">
        <v>1437</v>
      </c>
      <c r="H522" t="s">
        <v>2172</v>
      </c>
      <c r="I522" s="2" t="s">
        <v>383</v>
      </c>
      <c r="J522" s="2" t="s">
        <v>78</v>
      </c>
      <c r="K522"/>
      <c r="L522" t="s">
        <v>2172</v>
      </c>
      <c r="M522"/>
      <c r="N522" s="51" t="s">
        <v>1968</v>
      </c>
    </row>
    <row r="523" spans="1:14" x14ac:dyDescent="0.25">
      <c r="A523" s="84" t="s">
        <v>2021</v>
      </c>
      <c r="B523" t="s">
        <v>1298</v>
      </c>
      <c r="C523" s="14" t="s">
        <v>3</v>
      </c>
      <c r="D523" s="14" t="s">
        <v>362</v>
      </c>
      <c r="E523" s="2" t="s">
        <v>525</v>
      </c>
      <c r="F523" t="s">
        <v>1319</v>
      </c>
      <c r="G523" s="2" t="s">
        <v>1444</v>
      </c>
      <c r="H523" t="s">
        <v>1319</v>
      </c>
      <c r="I523" s="2" t="s">
        <v>383</v>
      </c>
      <c r="J523" s="2" t="s">
        <v>78</v>
      </c>
      <c r="K523"/>
      <c r="L523" t="s">
        <v>2172</v>
      </c>
      <c r="M523"/>
      <c r="N523" s="51" t="s">
        <v>1968</v>
      </c>
    </row>
    <row r="524" spans="1:14" x14ac:dyDescent="0.25">
      <c r="A524" s="84" t="s">
        <v>2021</v>
      </c>
      <c r="B524" t="s">
        <v>1298</v>
      </c>
      <c r="C524" s="14" t="s">
        <v>3</v>
      </c>
      <c r="D524" s="14" t="s">
        <v>362</v>
      </c>
      <c r="E524" s="2" t="s">
        <v>526</v>
      </c>
      <c r="F524" t="s">
        <v>1963</v>
      </c>
      <c r="G524" s="2" t="s">
        <v>1443</v>
      </c>
      <c r="H524" t="s">
        <v>1966</v>
      </c>
      <c r="I524" s="2" t="s">
        <v>850</v>
      </c>
      <c r="J524" s="2" t="s">
        <v>78</v>
      </c>
      <c r="K524"/>
      <c r="L524" t="s">
        <v>2172</v>
      </c>
      <c r="M524"/>
      <c r="N524" s="51" t="s">
        <v>1968</v>
      </c>
    </row>
    <row r="525" spans="1:14" x14ac:dyDescent="0.25">
      <c r="A525" s="84" t="s">
        <v>2021</v>
      </c>
      <c r="B525" t="s">
        <v>1298</v>
      </c>
      <c r="C525" s="14" t="s">
        <v>3</v>
      </c>
      <c r="D525" s="14" t="s">
        <v>362</v>
      </c>
      <c r="E525" s="2" t="s">
        <v>613</v>
      </c>
      <c r="F525" t="s">
        <v>2173</v>
      </c>
      <c r="G525" s="2" t="s">
        <v>1445</v>
      </c>
      <c r="H525" t="s">
        <v>2178</v>
      </c>
      <c r="I525" s="2" t="s">
        <v>1044</v>
      </c>
      <c r="J525" s="2" t="s">
        <v>78</v>
      </c>
      <c r="K525"/>
      <c r="L525" t="s">
        <v>2172</v>
      </c>
      <c r="M525"/>
      <c r="N525" s="51" t="s">
        <v>1968</v>
      </c>
    </row>
  </sheetData>
  <autoFilter ref="A1:WVW205"/>
  <dataValidations disablePrompts="1" count="2">
    <dataValidation type="list" allowBlank="1" showInputMessage="1" showErrorMessage="1" sqref="C2:C14">
      <formula1>"NO,YES"</formula1>
    </dataValidation>
    <dataValidation type="list" allowBlank="1" showInputMessage="1" showErrorMessage="1" sqref="D2:D14">
      <formula1>"ODS,MDM"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6"/>
  <sheetViews>
    <sheetView zoomScale="80" zoomScaleNormal="80" workbookViewId="0">
      <selection activeCell="A6" sqref="A6"/>
    </sheetView>
  </sheetViews>
  <sheetFormatPr defaultRowHeight="15" x14ac:dyDescent="0.25"/>
  <cols>
    <col min="1" max="1" width="5.140625" style="15" bestFit="1" customWidth="1" collapsed="1"/>
    <col min="2" max="2" width="9.140625" style="15" collapsed="1"/>
    <col min="3" max="3" width="27.28515625" style="15" bestFit="1" customWidth="1" collapsed="1"/>
    <col min="4" max="4" width="17.42578125" style="15" bestFit="1" customWidth="1" collapsed="1"/>
    <col min="5" max="5" width="15.5703125" style="15" customWidth="1" collapsed="1"/>
    <col min="6" max="6" width="18.7109375" style="15" bestFit="1" customWidth="1" collapsed="1"/>
    <col min="7" max="16384" width="9.140625" style="15" collapsed="1"/>
  </cols>
  <sheetData>
    <row r="1" spans="1:6" x14ac:dyDescent="0.25">
      <c r="A1" s="9" t="s">
        <v>0</v>
      </c>
      <c r="B1" s="9" t="s">
        <v>18</v>
      </c>
      <c r="C1" s="9" t="s">
        <v>340</v>
      </c>
      <c r="D1" s="5" t="s">
        <v>43</v>
      </c>
      <c r="E1" s="5" t="s">
        <v>78</v>
      </c>
      <c r="F1" s="9" t="s">
        <v>80</v>
      </c>
    </row>
    <row r="2" spans="1:6" x14ac:dyDescent="0.25">
      <c r="A2" s="2" t="s">
        <v>2</v>
      </c>
      <c r="B2" s="2">
        <v>1</v>
      </c>
      <c r="C2" s="2" t="s">
        <v>356</v>
      </c>
      <c r="D2" t="s">
        <v>357</v>
      </c>
      <c r="E2"/>
      <c r="F2"/>
    </row>
    <row r="3" spans="1:6" x14ac:dyDescent="0.25">
      <c r="A3" s="2" t="s">
        <v>2</v>
      </c>
      <c r="B3" s="2">
        <v>2</v>
      </c>
      <c r="C3" s="2" t="s">
        <v>356</v>
      </c>
      <c r="D3" t="s">
        <v>357</v>
      </c>
      <c r="E3"/>
      <c r="F3"/>
    </row>
    <row r="4" spans="1:6" x14ac:dyDescent="0.25">
      <c r="A4" s="2" t="s">
        <v>912</v>
      </c>
      <c r="B4" s="2">
        <v>1</v>
      </c>
      <c r="C4" s="2" t="s">
        <v>952</v>
      </c>
      <c r="D4" t="s">
        <v>978</v>
      </c>
      <c r="E4" t="s">
        <v>979</v>
      </c>
      <c r="F4"/>
    </row>
    <row r="5" spans="1:6" x14ac:dyDescent="0.25">
      <c r="A5" s="2" t="s">
        <v>913</v>
      </c>
      <c r="B5" s="2">
        <v>1</v>
      </c>
      <c r="C5" s="2" t="s">
        <v>952</v>
      </c>
      <c r="D5" t="s">
        <v>978</v>
      </c>
      <c r="E5" t="s">
        <v>979</v>
      </c>
      <c r="F5"/>
    </row>
    <row r="6" spans="1:6" x14ac:dyDescent="0.25">
      <c r="A6" s="2" t="s">
        <v>872</v>
      </c>
      <c r="B6" s="2">
        <v>1</v>
      </c>
      <c r="C6" s="2" t="s">
        <v>952</v>
      </c>
      <c r="D6" t="s">
        <v>2124</v>
      </c>
      <c r="E6" t="s">
        <v>2125</v>
      </c>
      <c r="F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K4"/>
  <sheetViews>
    <sheetView zoomScale="85" zoomScaleNormal="85" workbookViewId="0">
      <selection activeCell="F29" sqref="F29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27.42578125" style="1" bestFit="1" customWidth="1" collapsed="1"/>
    <col min="4" max="4" width="17.42578125" style="1" bestFit="1" customWidth="1" collapsed="1"/>
    <col min="5" max="5" width="25" style="1" bestFit="1" customWidth="1" collapsed="1"/>
    <col min="6" max="6" width="25.7109375" style="1" bestFit="1" customWidth="1" collapsed="1"/>
    <col min="7" max="7" width="30.5703125" style="1" bestFit="1" customWidth="1" collapsed="1"/>
    <col min="8" max="9" width="27.7109375" style="1" customWidth="1" collapsed="1"/>
    <col min="10" max="10" width="29.28515625" style="1" bestFit="1" customWidth="1" collapsed="1"/>
    <col min="11" max="11" width="14.7109375" style="1" bestFit="1" customWidth="1" collapsed="1"/>
    <col min="12" max="16384" width="9.140625" style="1" collapsed="1"/>
  </cols>
  <sheetData>
    <row r="1" spans="1:11" x14ac:dyDescent="0.25">
      <c r="A1" s="9" t="s">
        <v>0</v>
      </c>
      <c r="B1" s="5" t="s">
        <v>18</v>
      </c>
      <c r="C1" s="19" t="s">
        <v>822</v>
      </c>
      <c r="D1" s="19" t="s">
        <v>387</v>
      </c>
      <c r="E1" s="19" t="s">
        <v>478</v>
      </c>
      <c r="F1" s="19" t="s">
        <v>479</v>
      </c>
      <c r="G1" s="19" t="s">
        <v>480</v>
      </c>
      <c r="H1" s="19" t="s">
        <v>481</v>
      </c>
      <c r="I1" s="19" t="s">
        <v>482</v>
      </c>
      <c r="J1" s="19" t="s">
        <v>823</v>
      </c>
      <c r="K1" s="19" t="s">
        <v>824</v>
      </c>
    </row>
    <row r="2" spans="1:11" x14ac:dyDescent="0.25">
      <c r="A2" s="4" t="s">
        <v>825</v>
      </c>
      <c r="B2" s="6">
        <v>1</v>
      </c>
      <c r="C2"/>
      <c r="D2" s="2" t="s">
        <v>308</v>
      </c>
      <c r="E2" s="2" t="s">
        <v>308</v>
      </c>
      <c r="F2" s="2" t="s">
        <v>308</v>
      </c>
      <c r="G2" s="2" t="s">
        <v>521</v>
      </c>
      <c r="H2" s="2" t="s">
        <v>308</v>
      </c>
      <c r="I2" s="2" t="s">
        <v>308</v>
      </c>
      <c r="J2"/>
      <c r="K2"/>
    </row>
    <row r="3" spans="1:11" x14ac:dyDescent="0.25">
      <c r="A3" s="4" t="s">
        <v>123</v>
      </c>
      <c r="B3" s="6">
        <v>1</v>
      </c>
      <c r="C3" t="s">
        <v>1103</v>
      </c>
      <c r="D3" s="2" t="s">
        <v>308</v>
      </c>
      <c r="E3" s="2" t="s">
        <v>308</v>
      </c>
      <c r="F3" s="2" t="s">
        <v>308</v>
      </c>
      <c r="G3" s="2" t="str">
        <f>C3</f>
        <v>TestAutomationComm_28</v>
      </c>
      <c r="H3" s="2" t="s">
        <v>308</v>
      </c>
      <c r="I3" s="2" t="s">
        <v>308</v>
      </c>
      <c r="J3"/>
      <c r="K3"/>
    </row>
    <row r="4" spans="1:11" x14ac:dyDescent="0.25">
      <c r="A4" s="2" t="s">
        <v>820</v>
      </c>
      <c r="B4" s="6">
        <v>1</v>
      </c>
      <c r="C4"/>
      <c r="D4" s="2" t="s">
        <v>308</v>
      </c>
      <c r="E4" s="2" t="s">
        <v>308</v>
      </c>
      <c r="F4" s="2" t="s">
        <v>308</v>
      </c>
      <c r="G4" s="2" t="str">
        <f>C3</f>
        <v>TestAutomationComm_28</v>
      </c>
      <c r="H4" s="2" t="s">
        <v>308</v>
      </c>
      <c r="I4" s="2" t="s">
        <v>308</v>
      </c>
      <c r="J4"/>
      <c r="K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H2"/>
  <sheetViews>
    <sheetView tabSelected="1" zoomScale="85" zoomScaleNormal="85" workbookViewId="0">
      <selection activeCell="F1" sqref="F1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7.42578125" style="1" bestFit="1" customWidth="1" collapsed="1"/>
    <col min="4" max="4" width="25" style="1" bestFit="1" customWidth="1" collapsed="1"/>
    <col min="5" max="5" width="25.7109375" style="1" bestFit="1" customWidth="1" collapsed="1"/>
    <col min="6" max="6" width="30.5703125" style="1" bestFit="1" customWidth="1" collapsed="1"/>
    <col min="7" max="8" width="27.7109375" style="1" customWidth="1" collapsed="1"/>
    <col min="9" max="16384" width="9.140625" style="1" collapsed="1"/>
  </cols>
  <sheetData>
    <row r="1" spans="1:8" x14ac:dyDescent="0.25">
      <c r="A1" s="9" t="s">
        <v>0</v>
      </c>
      <c r="B1" s="5" t="s">
        <v>18</v>
      </c>
      <c r="C1" s="19" t="s">
        <v>387</v>
      </c>
      <c r="D1" s="19" t="s">
        <v>478</v>
      </c>
      <c r="E1" s="19" t="s">
        <v>479</v>
      </c>
      <c r="F1" s="19" t="s">
        <v>480</v>
      </c>
      <c r="G1" s="19" t="s">
        <v>481</v>
      </c>
      <c r="H1" s="19" t="s">
        <v>482</v>
      </c>
    </row>
    <row r="2" spans="1:8" x14ac:dyDescent="0.25">
      <c r="A2" s="4" t="s">
        <v>123</v>
      </c>
      <c r="B2" s="6">
        <v>1</v>
      </c>
      <c r="C2" s="2" t="s">
        <v>308</v>
      </c>
      <c r="D2" s="2" t="s">
        <v>308</v>
      </c>
      <c r="E2" s="2" t="s">
        <v>308</v>
      </c>
      <c r="F2" s="2" t="s">
        <v>521</v>
      </c>
      <c r="G2" s="2" t="s">
        <v>308</v>
      </c>
      <c r="H2" s="2" t="s">
        <v>308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BD4"/>
  <sheetViews>
    <sheetView zoomScale="85" zoomScaleNormal="85" workbookViewId="0">
      <selection activeCell="J3" sqref="J3"/>
    </sheetView>
  </sheetViews>
  <sheetFormatPr defaultRowHeight="15" x14ac:dyDescent="0.25"/>
  <cols>
    <col min="1" max="1" width="7.7109375" style="1" bestFit="1" customWidth="1" collapsed="1"/>
    <col min="2" max="2" width="8.7109375" style="1" bestFit="1" customWidth="1" collapsed="1"/>
    <col min="3" max="3" width="24.5703125" style="1" bestFit="1" customWidth="1" collapsed="1"/>
    <col min="4" max="4" width="14.7109375" style="1" bestFit="1" customWidth="1" collapsed="1"/>
    <col min="5" max="5" width="12.42578125" style="1" bestFit="1" customWidth="1" collapsed="1"/>
    <col min="6" max="6" width="17.42578125" style="1" bestFit="1" customWidth="1" collapsed="1"/>
    <col min="7" max="7" width="19.140625" style="1" bestFit="1" customWidth="1" collapsed="1"/>
    <col min="8" max="8" width="20.7109375" style="1" bestFit="1" customWidth="1" collapsed="1"/>
    <col min="9" max="9" width="20.7109375" style="1" customWidth="1" collapsed="1"/>
    <col min="10" max="10" width="28.140625" style="1" bestFit="1" customWidth="1" collapsed="1"/>
    <col min="11" max="11" width="22.42578125" style="1" bestFit="1" customWidth="1" collapsed="1"/>
    <col min="12" max="12" width="8.140625" style="1" customWidth="1" collapsed="1"/>
    <col min="13" max="13" width="15.5703125" style="1" bestFit="1" customWidth="1" collapsed="1"/>
    <col min="14" max="14" width="9.140625" style="1" collapsed="1"/>
    <col min="15" max="15" width="18.7109375" style="1" bestFit="1" customWidth="1" collapsed="1"/>
    <col min="16" max="16" width="28.42578125" style="1" bestFit="1" customWidth="1" collapsed="1"/>
    <col min="17" max="17" width="18.42578125" style="1" bestFit="1" customWidth="1" collapsed="1"/>
    <col min="18" max="22" width="18.42578125" style="1" customWidth="1" collapsed="1"/>
    <col min="23" max="23" width="23.7109375" style="1" bestFit="1" customWidth="1" collapsed="1"/>
    <col min="24" max="31" width="18.42578125" style="1" customWidth="1" collapsed="1"/>
    <col min="32" max="33" width="25.140625" style="1" bestFit="1" customWidth="1" collapsed="1"/>
    <col min="34" max="37" width="18.42578125" style="1" customWidth="1" collapsed="1"/>
    <col min="38" max="38" width="24.140625" style="1" bestFit="1" customWidth="1" collapsed="1"/>
    <col min="39" max="39" width="26.140625" style="1" bestFit="1" customWidth="1" collapsed="1"/>
    <col min="40" max="40" width="21.42578125" style="1" bestFit="1" customWidth="1" collapsed="1"/>
    <col min="41" max="41" width="23.5703125" style="1" bestFit="1" customWidth="1" collapsed="1"/>
    <col min="42" max="42" width="24.140625" style="1" bestFit="1" customWidth="1" collapsed="1"/>
    <col min="43" max="43" width="24.140625" style="1" customWidth="1" collapsed="1"/>
    <col min="44" max="47" width="23.5703125" style="1" customWidth="1" collapsed="1"/>
    <col min="48" max="48" width="25.140625" style="1" bestFit="1" customWidth="1" collapsed="1"/>
    <col min="49" max="49" width="25.140625" style="1" customWidth="1" collapsed="1"/>
    <col min="50" max="50" width="19.140625" style="1" bestFit="1" customWidth="1" collapsed="1"/>
    <col min="51" max="52" width="19.140625" style="1" customWidth="1" collapsed="1"/>
    <col min="53" max="53" width="24.85546875" style="1" bestFit="1" customWidth="1" collapsed="1"/>
    <col min="54" max="54" width="27.7109375" style="1" bestFit="1" customWidth="1" collapsed="1"/>
    <col min="55" max="55" width="21.85546875" style="1" bestFit="1" customWidth="1" collapsed="1"/>
    <col min="56" max="16384" width="9.140625" style="1" collapsed="1"/>
  </cols>
  <sheetData>
    <row r="1" spans="1:56" x14ac:dyDescent="0.25">
      <c r="A1" s="9" t="s">
        <v>0</v>
      </c>
      <c r="B1" s="5" t="s">
        <v>18</v>
      </c>
      <c r="C1" s="19" t="s">
        <v>806</v>
      </c>
      <c r="D1" s="19" t="s">
        <v>807</v>
      </c>
      <c r="E1" s="19" t="s">
        <v>808</v>
      </c>
      <c r="F1" s="19" t="s">
        <v>387</v>
      </c>
      <c r="G1" s="19" t="s">
        <v>388</v>
      </c>
      <c r="H1" s="19" t="s">
        <v>389</v>
      </c>
      <c r="I1" s="19" t="s">
        <v>390</v>
      </c>
      <c r="J1" s="19" t="s">
        <v>391</v>
      </c>
      <c r="K1" s="19" t="s">
        <v>392</v>
      </c>
      <c r="L1" s="19" t="s">
        <v>393</v>
      </c>
      <c r="M1" s="19" t="s">
        <v>394</v>
      </c>
      <c r="N1" s="19" t="s">
        <v>395</v>
      </c>
      <c r="O1" s="19" t="s">
        <v>396</v>
      </c>
      <c r="P1" s="19" t="s">
        <v>397</v>
      </c>
      <c r="Q1" s="19" t="s">
        <v>398</v>
      </c>
      <c r="R1" s="19" t="s">
        <v>399</v>
      </c>
      <c r="S1" s="19" t="s">
        <v>400</v>
      </c>
      <c r="T1" s="19" t="s">
        <v>401</v>
      </c>
      <c r="U1" s="19" t="s">
        <v>402</v>
      </c>
      <c r="V1" s="19" t="s">
        <v>403</v>
      </c>
      <c r="W1" s="19" t="s">
        <v>404</v>
      </c>
      <c r="X1" s="19" t="s">
        <v>809</v>
      </c>
      <c r="Y1" s="19" t="s">
        <v>810</v>
      </c>
      <c r="Z1" s="19" t="s">
        <v>811</v>
      </c>
      <c r="AA1" s="19" t="s">
        <v>812</v>
      </c>
      <c r="AB1" s="19" t="s">
        <v>405</v>
      </c>
      <c r="AC1" s="19" t="s">
        <v>406</v>
      </c>
      <c r="AD1" s="19" t="s">
        <v>407</v>
      </c>
      <c r="AE1" s="19" t="s">
        <v>408</v>
      </c>
      <c r="AF1" s="19" t="s">
        <v>409</v>
      </c>
      <c r="AG1" s="19" t="s">
        <v>409</v>
      </c>
      <c r="AH1" s="19" t="s">
        <v>410</v>
      </c>
      <c r="AI1" s="19" t="s">
        <v>411</v>
      </c>
      <c r="AJ1" s="19" t="s">
        <v>412</v>
      </c>
      <c r="AK1" s="19" t="s">
        <v>413</v>
      </c>
      <c r="AL1" s="19" t="s">
        <v>414</v>
      </c>
      <c r="AM1" s="19" t="s">
        <v>415</v>
      </c>
      <c r="AN1" s="19" t="s">
        <v>416</v>
      </c>
      <c r="AO1" s="19" t="s">
        <v>417</v>
      </c>
      <c r="AP1" s="19" t="s">
        <v>414</v>
      </c>
      <c r="AQ1" s="19" t="s">
        <v>418</v>
      </c>
      <c r="AR1" s="19" t="s">
        <v>419</v>
      </c>
      <c r="AS1" s="19" t="s">
        <v>420</v>
      </c>
      <c r="AT1" s="19" t="s">
        <v>421</v>
      </c>
      <c r="AU1" s="19" t="s">
        <v>422</v>
      </c>
      <c r="AV1" s="19" t="s">
        <v>409</v>
      </c>
      <c r="AW1" s="19" t="s">
        <v>409</v>
      </c>
      <c r="AX1" s="19" t="s">
        <v>423</v>
      </c>
      <c r="AY1" s="19" t="s">
        <v>813</v>
      </c>
      <c r="AZ1" s="19" t="s">
        <v>814</v>
      </c>
      <c r="BA1" s="19" t="s">
        <v>815</v>
      </c>
      <c r="BB1" s="19" t="s">
        <v>816</v>
      </c>
      <c r="BC1" s="19" t="s">
        <v>817</v>
      </c>
      <c r="BD1" s="19" t="s">
        <v>818</v>
      </c>
    </row>
    <row r="2" spans="1:56" x14ac:dyDescent="0.25">
      <c r="A2" s="2" t="s">
        <v>821</v>
      </c>
      <c r="B2" s="6">
        <v>1</v>
      </c>
      <c r="C2"/>
      <c r="D2"/>
      <c r="E2"/>
      <c r="F2" s="2" t="s">
        <v>308</v>
      </c>
      <c r="G2" s="2" t="s">
        <v>308</v>
      </c>
      <c r="H2" s="2" t="s">
        <v>308</v>
      </c>
      <c r="I2"/>
      <c r="J2" s="2" t="s">
        <v>521</v>
      </c>
      <c r="K2" s="2" t="s">
        <v>522</v>
      </c>
      <c r="L2" s="14" t="s">
        <v>487</v>
      </c>
      <c r="M2" s="2" t="s">
        <v>476</v>
      </c>
      <c r="N2" s="2" t="s">
        <v>424</v>
      </c>
      <c r="O2" s="2" t="s">
        <v>308</v>
      </c>
      <c r="P2" s="2" t="s">
        <v>425</v>
      </c>
      <c r="Q2" s="2" t="s">
        <v>308</v>
      </c>
      <c r="R2" s="2" t="s">
        <v>308</v>
      </c>
      <c r="S2"/>
      <c r="T2"/>
      <c r="U2"/>
      <c r="V2"/>
      <c r="W2"/>
      <c r="X2"/>
      <c r="Y2"/>
      <c r="Z2"/>
      <c r="AA2"/>
      <c r="AB2"/>
      <c r="AC2"/>
      <c r="AD2"/>
      <c r="AE2"/>
      <c r="AF2" s="6" t="s">
        <v>433</v>
      </c>
      <c r="AG2" s="6" t="s">
        <v>434</v>
      </c>
      <c r="AH2" s="2" t="s">
        <v>308</v>
      </c>
      <c r="AI2" s="2" t="s">
        <v>308</v>
      </c>
      <c r="AJ2" s="2" t="s">
        <v>435</v>
      </c>
      <c r="AK2" s="2" t="s">
        <v>308</v>
      </c>
      <c r="AL2"/>
      <c r="AM2"/>
      <c r="AN2" s="2" t="s">
        <v>436</v>
      </c>
      <c r="AO2" s="2" t="s">
        <v>308</v>
      </c>
      <c r="AP2"/>
      <c r="AQ2"/>
      <c r="AR2" s="2" t="s">
        <v>308</v>
      </c>
      <c r="AS2" s="6" t="s">
        <v>85</v>
      </c>
      <c r="AT2" s="6" t="s">
        <v>3</v>
      </c>
      <c r="AU2" s="6" t="s">
        <v>3</v>
      </c>
      <c r="AV2" s="6" t="s">
        <v>437</v>
      </c>
      <c r="AW2" s="6" t="s">
        <v>438</v>
      </c>
      <c r="AX2" s="2" t="s">
        <v>308</v>
      </c>
      <c r="AY2"/>
      <c r="AZ2"/>
      <c r="BA2"/>
      <c r="BB2"/>
      <c r="BC2"/>
      <c r="BD2"/>
    </row>
    <row r="3" spans="1:56" x14ac:dyDescent="0.25">
      <c r="A3" s="55" t="s">
        <v>132</v>
      </c>
      <c r="B3" s="66">
        <v>1</v>
      </c>
      <c r="C3" t="s">
        <v>1284</v>
      </c>
      <c r="D3" t="s">
        <v>1286</v>
      </c>
      <c r="E3" t="s">
        <v>1287</v>
      </c>
      <c r="F3" s="55" t="s">
        <v>308</v>
      </c>
      <c r="G3" s="55" t="s">
        <v>308</v>
      </c>
      <c r="H3" s="55" t="s">
        <v>308</v>
      </c>
      <c r="I3"/>
      <c r="J3" t="s">
        <v>1283</v>
      </c>
      <c r="K3" t="s">
        <v>1285</v>
      </c>
      <c r="L3" t="s">
        <v>1287</v>
      </c>
      <c r="M3" s="2" t="s">
        <v>476</v>
      </c>
      <c r="N3" s="2" t="s">
        <v>424</v>
      </c>
      <c r="O3" s="2" t="s">
        <v>308</v>
      </c>
      <c r="P3" s="2" t="s">
        <v>425</v>
      </c>
      <c r="Q3" s="2" t="s">
        <v>308</v>
      </c>
      <c r="R3" s="2" t="s">
        <v>308</v>
      </c>
      <c r="S3" s="2" t="s">
        <v>426</v>
      </c>
      <c r="T3"/>
      <c r="U3" s="2" t="s">
        <v>427</v>
      </c>
      <c r="V3" s="2" t="s">
        <v>428</v>
      </c>
      <c r="W3" s="48" t="s">
        <v>429</v>
      </c>
      <c r="X3" s="2" t="s">
        <v>3</v>
      </c>
      <c r="Y3" s="2" t="s">
        <v>819</v>
      </c>
      <c r="Z3" s="2" t="s">
        <v>3</v>
      </c>
      <c r="AA3" s="2" t="s">
        <v>3</v>
      </c>
      <c r="AB3"/>
      <c r="AC3"/>
      <c r="AD3"/>
      <c r="AE3"/>
      <c r="AF3" s="6" t="s">
        <v>433</v>
      </c>
      <c r="AG3" s="6" t="s">
        <v>434</v>
      </c>
      <c r="AH3" s="2" t="s">
        <v>308</v>
      </c>
      <c r="AI3" s="2" t="s">
        <v>308</v>
      </c>
      <c r="AJ3" s="2" t="s">
        <v>435</v>
      </c>
      <c r="AK3" s="2" t="s">
        <v>308</v>
      </c>
      <c r="AL3"/>
      <c r="AM3"/>
      <c r="AN3" s="2" t="s">
        <v>436</v>
      </c>
      <c r="AO3" s="2" t="s">
        <v>308</v>
      </c>
      <c r="AP3"/>
      <c r="AQ3"/>
      <c r="AR3" s="2" t="s">
        <v>308</v>
      </c>
      <c r="AS3" s="6" t="s">
        <v>85</v>
      </c>
      <c r="AT3" s="6" t="s">
        <v>3</v>
      </c>
      <c r="AU3" s="6" t="s">
        <v>3</v>
      </c>
      <c r="AV3" s="6" t="s">
        <v>437</v>
      </c>
      <c r="AW3" s="6" t="s">
        <v>438</v>
      </c>
      <c r="AX3" s="2" t="s">
        <v>308</v>
      </c>
      <c r="AY3"/>
      <c r="AZ3"/>
      <c r="BA3"/>
      <c r="BB3" s="2" t="str">
        <f>J3</f>
        <v>TestAutomationComm_29</v>
      </c>
      <c r="BC3" s="2" t="str">
        <f>K3</f>
        <v>TestAutomationGrp_29</v>
      </c>
      <c r="BD3" s="2" t="str">
        <f>L3</f>
        <v>X147</v>
      </c>
    </row>
    <row r="4" spans="1:56" x14ac:dyDescent="0.25">
      <c r="A4" s="2" t="s">
        <v>123</v>
      </c>
      <c r="B4" s="6">
        <v>1</v>
      </c>
      <c r="C4"/>
      <c r="D4"/>
      <c r="E4"/>
      <c r="F4"/>
      <c r="G4"/>
      <c r="H4"/>
      <c r="I4" s="2" t="s">
        <v>308</v>
      </c>
      <c r="J4" s="2" t="str">
        <f>C3</f>
        <v>TestAutomationComm_28_upd</v>
      </c>
      <c r="K4" s="2" t="str">
        <f>D3</f>
        <v>TestAutomationGrp_28_upd</v>
      </c>
      <c r="L4" s="14" t="str">
        <f>E3</f>
        <v>X147</v>
      </c>
      <c r="M4" s="2" t="s">
        <v>486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 s="2" t="s">
        <v>308</v>
      </c>
      <c r="AI4"/>
      <c r="AJ4" s="2" t="s">
        <v>439</v>
      </c>
      <c r="AK4" s="2" t="s">
        <v>308</v>
      </c>
      <c r="AL4" s="2" t="s">
        <v>440</v>
      </c>
      <c r="AM4" s="2" t="s">
        <v>308</v>
      </c>
      <c r="AN4" s="2" t="s">
        <v>441</v>
      </c>
      <c r="AO4" s="2" t="s">
        <v>308</v>
      </c>
      <c r="AP4" s="14" t="s">
        <v>442</v>
      </c>
      <c r="AQ4" s="14" t="s">
        <v>308</v>
      </c>
      <c r="AR4" s="2" t="s">
        <v>308</v>
      </c>
      <c r="AS4" s="6" t="s">
        <v>443</v>
      </c>
      <c r="AT4" s="6" t="s">
        <v>308</v>
      </c>
      <c r="AU4" s="6" t="s">
        <v>3</v>
      </c>
      <c r="AV4" s="6" t="s">
        <v>437</v>
      </c>
      <c r="AW4" s="6" t="s">
        <v>438</v>
      </c>
      <c r="AX4" s="2" t="s">
        <v>308</v>
      </c>
      <c r="AY4"/>
      <c r="AZ4" s="12" t="s">
        <v>308</v>
      </c>
      <c r="BA4"/>
      <c r="BB4"/>
      <c r="BC4"/>
      <c r="BD4"/>
    </row>
  </sheetData>
  <hyperlinks>
    <hyperlink ref="W3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4"/>
  <sheetViews>
    <sheetView zoomScale="85" zoomScaleNormal="85" workbookViewId="0">
      <selection activeCell="A3" sqref="A3"/>
    </sheetView>
  </sheetViews>
  <sheetFormatPr defaultRowHeight="15" x14ac:dyDescent="0.25"/>
  <cols>
    <col min="1" max="1" width="7.7109375" style="1" bestFit="1" customWidth="1" collapsed="1"/>
    <col min="2" max="2" width="8.7109375" style="1" bestFit="1" customWidth="1" collapsed="1"/>
    <col min="3" max="3" width="17.42578125" style="1" bestFit="1" customWidth="1" collapsed="1"/>
    <col min="4" max="4" width="19.140625" style="1" bestFit="1" customWidth="1" collapsed="1"/>
    <col min="5" max="5" width="20.7109375" style="1" bestFit="1" customWidth="1" collapsed="1"/>
    <col min="6" max="6" width="20.7109375" style="1" customWidth="1" collapsed="1"/>
    <col min="7" max="7" width="28.140625" style="1" bestFit="1" customWidth="1" collapsed="1"/>
    <col min="8" max="8" width="22.42578125" style="1" bestFit="1" customWidth="1" collapsed="1"/>
    <col min="9" max="9" width="8.140625" style="1" customWidth="1" collapsed="1"/>
    <col min="10" max="10" width="15.5703125" style="1" bestFit="1" customWidth="1" collapsed="1"/>
    <col min="11" max="11" width="9.140625" style="1" collapsed="1"/>
    <col min="12" max="12" width="18.7109375" style="1" bestFit="1" customWidth="1" collapsed="1"/>
    <col min="13" max="13" width="28.42578125" style="1" bestFit="1" customWidth="1" collapsed="1"/>
    <col min="14" max="14" width="18.42578125" style="1" bestFit="1" customWidth="1" collapsed="1"/>
    <col min="15" max="24" width="18.42578125" style="1" customWidth="1" collapsed="1"/>
    <col min="25" max="26" width="25.140625" style="1" bestFit="1" customWidth="1" collapsed="1"/>
    <col min="27" max="30" width="18.42578125" style="1" customWidth="1" collapsed="1"/>
    <col min="31" max="31" width="24.140625" style="1" bestFit="1" customWidth="1" collapsed="1"/>
    <col min="32" max="32" width="26.140625" style="1" bestFit="1" customWidth="1" collapsed="1"/>
    <col min="33" max="33" width="21.42578125" style="1" bestFit="1" customWidth="1" collapsed="1"/>
    <col min="34" max="34" width="23.5703125" style="1" bestFit="1" customWidth="1" collapsed="1"/>
    <col min="35" max="35" width="24.140625" style="1" bestFit="1" customWidth="1" collapsed="1"/>
    <col min="36" max="36" width="24.140625" style="1" customWidth="1" collapsed="1"/>
    <col min="37" max="40" width="23.5703125" style="1" customWidth="1" collapsed="1"/>
    <col min="41" max="41" width="25.140625" style="1" bestFit="1" customWidth="1" collapsed="1"/>
    <col min="42" max="42" width="25.140625" style="1" customWidth="1" collapsed="1"/>
    <col min="43" max="43" width="19.140625" style="1" bestFit="1" customWidth="1" collapsed="1"/>
    <col min="44" max="16384" width="9.140625" style="1" collapsed="1"/>
  </cols>
  <sheetData>
    <row r="1" spans="1:43" x14ac:dyDescent="0.25">
      <c r="A1" s="9" t="s">
        <v>0</v>
      </c>
      <c r="B1" s="5" t="s">
        <v>18</v>
      </c>
      <c r="C1" s="19" t="s">
        <v>387</v>
      </c>
      <c r="D1" s="19" t="s">
        <v>388</v>
      </c>
      <c r="E1" s="19" t="s">
        <v>389</v>
      </c>
      <c r="F1" s="19" t="s">
        <v>390</v>
      </c>
      <c r="G1" s="19" t="s">
        <v>391</v>
      </c>
      <c r="H1" s="19" t="s">
        <v>392</v>
      </c>
      <c r="I1" s="19" t="s">
        <v>393</v>
      </c>
      <c r="J1" s="19" t="s">
        <v>394</v>
      </c>
      <c r="K1" s="19" t="s">
        <v>395</v>
      </c>
      <c r="L1" s="19" t="s">
        <v>396</v>
      </c>
      <c r="M1" s="19" t="s">
        <v>397</v>
      </c>
      <c r="N1" s="19" t="s">
        <v>398</v>
      </c>
      <c r="O1" s="19" t="s">
        <v>399</v>
      </c>
      <c r="P1" s="19" t="s">
        <v>400</v>
      </c>
      <c r="Q1" s="19" t="s">
        <v>401</v>
      </c>
      <c r="R1" s="19" t="s">
        <v>402</v>
      </c>
      <c r="S1" s="19" t="s">
        <v>403</v>
      </c>
      <c r="T1" s="19" t="s">
        <v>404</v>
      </c>
      <c r="U1" s="19" t="s">
        <v>405</v>
      </c>
      <c r="V1" s="19" t="s">
        <v>406</v>
      </c>
      <c r="W1" s="19" t="s">
        <v>407</v>
      </c>
      <c r="X1" s="19" t="s">
        <v>408</v>
      </c>
      <c r="Y1" s="19" t="s">
        <v>409</v>
      </c>
      <c r="Z1" s="19" t="s">
        <v>409</v>
      </c>
      <c r="AA1" s="19" t="s">
        <v>410</v>
      </c>
      <c r="AB1" s="19" t="s">
        <v>411</v>
      </c>
      <c r="AC1" s="19" t="s">
        <v>412</v>
      </c>
      <c r="AD1" s="19" t="s">
        <v>413</v>
      </c>
      <c r="AE1" s="19" t="s">
        <v>414</v>
      </c>
      <c r="AF1" s="19" t="s">
        <v>415</v>
      </c>
      <c r="AG1" s="19" t="s">
        <v>416</v>
      </c>
      <c r="AH1" s="19" t="s">
        <v>417</v>
      </c>
      <c r="AI1" s="19" t="s">
        <v>414</v>
      </c>
      <c r="AJ1" s="19" t="s">
        <v>418</v>
      </c>
      <c r="AK1" s="19" t="s">
        <v>419</v>
      </c>
      <c r="AL1" s="19" t="s">
        <v>420</v>
      </c>
      <c r="AM1" s="19" t="s">
        <v>421</v>
      </c>
      <c r="AN1" s="19" t="s">
        <v>422</v>
      </c>
      <c r="AO1" s="19" t="s">
        <v>409</v>
      </c>
      <c r="AP1" s="19" t="s">
        <v>409</v>
      </c>
      <c r="AQ1" s="19" t="s">
        <v>423</v>
      </c>
    </row>
    <row r="2" spans="1:43" x14ac:dyDescent="0.25">
      <c r="A2" s="2" t="s">
        <v>132</v>
      </c>
      <c r="B2" s="6">
        <v>1</v>
      </c>
      <c r="C2" s="2" t="s">
        <v>308</v>
      </c>
      <c r="D2" s="2" t="s">
        <v>308</v>
      </c>
      <c r="E2" s="2" t="s">
        <v>308</v>
      </c>
      <c r="F2" s="2"/>
      <c r="G2" s="2" t="s">
        <v>521</v>
      </c>
      <c r="H2" s="2" t="s">
        <v>522</v>
      </c>
      <c r="I2" s="14" t="s">
        <v>487</v>
      </c>
      <c r="J2" s="2" t="s">
        <v>476</v>
      </c>
      <c r="K2" s="2" t="s">
        <v>424</v>
      </c>
      <c r="L2" s="2" t="s">
        <v>308</v>
      </c>
      <c r="M2" s="2" t="s">
        <v>425</v>
      </c>
      <c r="N2" s="2" t="s">
        <v>308</v>
      </c>
      <c r="O2" s="2" t="s">
        <v>308</v>
      </c>
      <c r="P2" s="2"/>
      <c r="Q2" s="2"/>
      <c r="R2" s="2"/>
      <c r="S2" s="2"/>
      <c r="T2" s="48"/>
      <c r="U2" s="2"/>
      <c r="V2" s="2"/>
      <c r="W2" s="2"/>
      <c r="X2" s="48"/>
      <c r="Y2" s="6" t="s">
        <v>433</v>
      </c>
      <c r="Z2" s="6" t="s">
        <v>434</v>
      </c>
      <c r="AA2" s="2" t="s">
        <v>308</v>
      </c>
      <c r="AB2" s="2" t="s">
        <v>308</v>
      </c>
      <c r="AC2" s="2" t="s">
        <v>435</v>
      </c>
      <c r="AD2" s="2" t="s">
        <v>308</v>
      </c>
      <c r="AE2" s="2"/>
      <c r="AF2" s="2"/>
      <c r="AG2" s="2" t="s">
        <v>436</v>
      </c>
      <c r="AH2" s="2" t="s">
        <v>308</v>
      </c>
      <c r="AI2" s="2"/>
      <c r="AJ2" s="2"/>
      <c r="AK2" s="2" t="s">
        <v>308</v>
      </c>
      <c r="AL2" s="6" t="s">
        <v>85</v>
      </c>
      <c r="AM2" s="6" t="s">
        <v>3</v>
      </c>
      <c r="AN2" s="6" t="s">
        <v>3</v>
      </c>
      <c r="AO2" s="6" t="s">
        <v>437</v>
      </c>
      <c r="AP2" s="6" t="s">
        <v>438</v>
      </c>
      <c r="AQ2" s="2" t="s">
        <v>308</v>
      </c>
    </row>
    <row r="3" spans="1:43" x14ac:dyDescent="0.25">
      <c r="A3" s="2" t="s">
        <v>483</v>
      </c>
      <c r="B3" s="6">
        <v>1</v>
      </c>
      <c r="C3" s="2" t="s">
        <v>308</v>
      </c>
      <c r="D3" s="2" t="s">
        <v>308</v>
      </c>
      <c r="E3" s="2" t="s">
        <v>308</v>
      </c>
      <c r="F3" s="2"/>
      <c r="G3" s="2" t="s">
        <v>474</v>
      </c>
      <c r="H3" s="2" t="s">
        <v>475</v>
      </c>
      <c r="I3" s="14" t="s">
        <v>473</v>
      </c>
      <c r="J3" s="2" t="s">
        <v>476</v>
      </c>
      <c r="K3" s="2" t="s">
        <v>424</v>
      </c>
      <c r="L3" s="2" t="s">
        <v>308</v>
      </c>
      <c r="M3" s="2" t="s">
        <v>425</v>
      </c>
      <c r="N3" s="2" t="s">
        <v>308</v>
      </c>
      <c r="O3" s="2" t="s">
        <v>308</v>
      </c>
      <c r="P3" s="2" t="s">
        <v>426</v>
      </c>
      <c r="Q3" s="2"/>
      <c r="R3" s="2" t="s">
        <v>427</v>
      </c>
      <c r="S3" s="2" t="s">
        <v>428</v>
      </c>
      <c r="T3" s="48" t="s">
        <v>429</v>
      </c>
      <c r="U3" s="2" t="s">
        <v>430</v>
      </c>
      <c r="V3" s="2" t="s">
        <v>431</v>
      </c>
      <c r="W3" s="2" t="s">
        <v>428</v>
      </c>
      <c r="X3" s="48" t="s">
        <v>432</v>
      </c>
      <c r="Y3" s="6" t="s">
        <v>433</v>
      </c>
      <c r="Z3" s="6" t="s">
        <v>434</v>
      </c>
      <c r="AA3" s="2" t="s">
        <v>308</v>
      </c>
      <c r="AB3" s="2" t="s">
        <v>308</v>
      </c>
      <c r="AC3" s="2" t="s">
        <v>435</v>
      </c>
      <c r="AD3" s="2" t="s">
        <v>308</v>
      </c>
      <c r="AE3" s="2"/>
      <c r="AF3" s="2"/>
      <c r="AG3" s="2" t="s">
        <v>436</v>
      </c>
      <c r="AH3" s="2" t="s">
        <v>308</v>
      </c>
      <c r="AI3" s="2"/>
      <c r="AJ3" s="2"/>
      <c r="AK3" s="2" t="s">
        <v>308</v>
      </c>
      <c r="AL3" s="6" t="s">
        <v>85</v>
      </c>
      <c r="AM3" s="6" t="s">
        <v>3</v>
      </c>
      <c r="AN3" s="6" t="s">
        <v>3</v>
      </c>
      <c r="AO3" s="6" t="s">
        <v>437</v>
      </c>
      <c r="AP3" s="6" t="s">
        <v>438</v>
      </c>
      <c r="AQ3" s="2" t="s">
        <v>308</v>
      </c>
    </row>
    <row r="4" spans="1:43" x14ac:dyDescent="0.25">
      <c r="A4" s="2" t="s">
        <v>123</v>
      </c>
      <c r="B4" s="6">
        <v>1</v>
      </c>
      <c r="C4" s="2"/>
      <c r="D4" s="2"/>
      <c r="E4" s="2"/>
      <c r="F4" s="2" t="s">
        <v>308</v>
      </c>
      <c r="G4" s="2" t="s">
        <v>523</v>
      </c>
      <c r="H4" s="2" t="s">
        <v>524</v>
      </c>
      <c r="I4" s="14" t="s">
        <v>488</v>
      </c>
      <c r="J4" s="2" t="s">
        <v>486</v>
      </c>
      <c r="K4" s="2"/>
      <c r="L4" s="2"/>
      <c r="M4" s="2"/>
      <c r="N4" s="2"/>
      <c r="O4" s="2"/>
      <c r="P4" s="2"/>
      <c r="Q4" s="2"/>
      <c r="R4" s="2"/>
      <c r="S4" s="2"/>
      <c r="T4" s="48"/>
      <c r="U4" s="2"/>
      <c r="V4" s="2"/>
      <c r="W4" s="2"/>
      <c r="X4" s="48"/>
      <c r="Y4" s="6"/>
      <c r="Z4" s="6"/>
      <c r="AA4" s="2" t="s">
        <v>308</v>
      </c>
      <c r="AB4" s="2"/>
      <c r="AC4" s="2" t="s">
        <v>439</v>
      </c>
      <c r="AD4" s="2" t="s">
        <v>308</v>
      </c>
      <c r="AE4" s="2" t="s">
        <v>440</v>
      </c>
      <c r="AF4" s="2" t="s">
        <v>308</v>
      </c>
      <c r="AG4" s="2" t="s">
        <v>441</v>
      </c>
      <c r="AH4" s="2" t="s">
        <v>308</v>
      </c>
      <c r="AI4" s="14" t="s">
        <v>442</v>
      </c>
      <c r="AJ4" s="14" t="s">
        <v>308</v>
      </c>
      <c r="AK4" s="2" t="s">
        <v>308</v>
      </c>
      <c r="AL4" s="6" t="s">
        <v>443</v>
      </c>
      <c r="AM4" s="6" t="s">
        <v>308</v>
      </c>
      <c r="AN4" s="6" t="s">
        <v>3</v>
      </c>
      <c r="AO4" s="6" t="s">
        <v>437</v>
      </c>
      <c r="AP4" s="6" t="s">
        <v>438</v>
      </c>
      <c r="AQ4" s="2" t="s">
        <v>308</v>
      </c>
    </row>
  </sheetData>
  <hyperlinks>
    <hyperlink ref="T3" r:id="rId1"/>
    <hyperlink ref="X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55"/>
  <sheetViews>
    <sheetView topLeftCell="A25" zoomScale="85" zoomScaleNormal="85" workbookViewId="0">
      <selection activeCell="C52" sqref="C52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7.42578125" style="1" bestFit="1" customWidth="1" collapsed="1"/>
    <col min="4" max="4" width="23.140625" style="1" bestFit="1" customWidth="1" collapsed="1"/>
    <col min="5" max="5" width="29" style="1" bestFit="1" customWidth="1" collapsed="1"/>
    <col min="6" max="6" width="20.7109375" style="1" bestFit="1" customWidth="1" collapsed="1"/>
    <col min="7" max="7" width="32.42578125" style="1" bestFit="1" customWidth="1" collapsed="1"/>
    <col min="8" max="8" width="30.7109375" style="1" bestFit="1" customWidth="1" collapsed="1"/>
    <col min="9" max="16384" width="9.140625" style="1" collapsed="1"/>
  </cols>
  <sheetData>
    <row r="1" spans="1:10" x14ac:dyDescent="0.25">
      <c r="A1" s="9" t="s">
        <v>0</v>
      </c>
      <c r="B1" s="5" t="s">
        <v>18</v>
      </c>
      <c r="C1" s="5" t="s">
        <v>22</v>
      </c>
      <c r="D1" s="5" t="s">
        <v>23</v>
      </c>
      <c r="E1" s="5" t="s">
        <v>21</v>
      </c>
      <c r="F1" s="5" t="s">
        <v>24</v>
      </c>
      <c r="G1" s="5" t="s">
        <v>25</v>
      </c>
      <c r="H1" s="9" t="s">
        <v>26</v>
      </c>
      <c r="I1" s="3"/>
      <c r="J1" s="3"/>
    </row>
    <row r="2" spans="1:10" x14ac:dyDescent="0.25">
      <c r="A2" s="2" t="s">
        <v>1</v>
      </c>
      <c r="B2" s="6">
        <v>1</v>
      </c>
      <c r="C2" s="6" t="s">
        <v>3</v>
      </c>
      <c r="D2" s="6" t="s">
        <v>3</v>
      </c>
      <c r="E2" s="11" t="s">
        <v>491</v>
      </c>
      <c r="F2" s="6" t="s">
        <v>3</v>
      </c>
      <c r="G2" s="6" t="s">
        <v>3</v>
      </c>
      <c r="H2" s="6"/>
    </row>
    <row r="3" spans="1:10" x14ac:dyDescent="0.25">
      <c r="A3" s="2" t="s">
        <v>2</v>
      </c>
      <c r="B3" s="6">
        <v>1</v>
      </c>
      <c r="C3" s="6" t="s">
        <v>3</v>
      </c>
      <c r="D3" s="6" t="s">
        <v>3</v>
      </c>
      <c r="E3" s="11" t="s">
        <v>360</v>
      </c>
      <c r="F3" s="6" t="s">
        <v>3</v>
      </c>
      <c r="G3" s="6" t="s">
        <v>3</v>
      </c>
      <c r="H3" s="6"/>
    </row>
    <row r="4" spans="1:10" x14ac:dyDescent="0.25">
      <c r="A4" s="2" t="s">
        <v>16</v>
      </c>
      <c r="B4" s="6">
        <v>1</v>
      </c>
      <c r="C4" s="6" t="s">
        <v>3</v>
      </c>
      <c r="D4" s="6" t="s">
        <v>3</v>
      </c>
      <c r="E4" s="11" t="s">
        <v>70</v>
      </c>
      <c r="F4" s="6" t="s">
        <v>3</v>
      </c>
      <c r="G4" s="6" t="s">
        <v>3</v>
      </c>
      <c r="H4" s="6"/>
    </row>
    <row r="5" spans="1:10" x14ac:dyDescent="0.25">
      <c r="A5" s="2" t="s">
        <v>114</v>
      </c>
      <c r="B5" s="6">
        <v>1</v>
      </c>
      <c r="C5" s="6" t="s">
        <v>3</v>
      </c>
      <c r="D5" s="6" t="s">
        <v>3</v>
      </c>
      <c r="E5" s="11" t="s">
        <v>314</v>
      </c>
      <c r="F5" s="6" t="s">
        <v>3</v>
      </c>
      <c r="G5" s="6" t="s">
        <v>3</v>
      </c>
      <c r="H5" s="6"/>
    </row>
    <row r="6" spans="1:10" x14ac:dyDescent="0.25">
      <c r="A6" s="2" t="s">
        <v>134</v>
      </c>
      <c r="B6" s="6">
        <v>1</v>
      </c>
      <c r="C6" s="6" t="s">
        <v>3</v>
      </c>
      <c r="D6" s="6" t="s">
        <v>3</v>
      </c>
      <c r="E6" s="11" t="s">
        <v>314</v>
      </c>
      <c r="F6" s="6" t="s">
        <v>3</v>
      </c>
      <c r="G6" s="6" t="s">
        <v>3</v>
      </c>
      <c r="H6" s="6"/>
    </row>
    <row r="7" spans="1:10" x14ac:dyDescent="0.25">
      <c r="A7" s="2" t="s">
        <v>135</v>
      </c>
      <c r="B7" s="6">
        <v>1</v>
      </c>
      <c r="C7" s="6" t="s">
        <v>3</v>
      </c>
      <c r="D7" s="6" t="s">
        <v>3</v>
      </c>
      <c r="E7" s="11" t="s">
        <v>563</v>
      </c>
      <c r="F7" s="6" t="s">
        <v>3</v>
      </c>
      <c r="G7" s="6" t="s">
        <v>3</v>
      </c>
      <c r="H7" s="6"/>
    </row>
    <row r="8" spans="1:10" x14ac:dyDescent="0.25">
      <c r="A8" s="2" t="s">
        <v>136</v>
      </c>
      <c r="B8" s="6">
        <v>1</v>
      </c>
      <c r="C8" s="6" t="s">
        <v>3</v>
      </c>
      <c r="D8" s="6" t="s">
        <v>3</v>
      </c>
      <c r="E8" s="11" t="s">
        <v>573</v>
      </c>
      <c r="F8" s="6" t="s">
        <v>3</v>
      </c>
      <c r="G8" s="6" t="s">
        <v>3</v>
      </c>
      <c r="H8" s="6"/>
    </row>
    <row r="9" spans="1:10" x14ac:dyDescent="0.25">
      <c r="A9" s="2" t="s">
        <v>157</v>
      </c>
      <c r="B9" s="6">
        <v>1</v>
      </c>
      <c r="C9" s="6" t="s">
        <v>3</v>
      </c>
      <c r="D9" s="6" t="s">
        <v>3</v>
      </c>
      <c r="E9" s="11" t="s">
        <v>578</v>
      </c>
      <c r="F9" s="6" t="s">
        <v>3</v>
      </c>
      <c r="G9" s="6" t="s">
        <v>3</v>
      </c>
      <c r="H9" s="6"/>
    </row>
    <row r="10" spans="1:10" x14ac:dyDescent="0.25">
      <c r="A10" s="2" t="s">
        <v>172</v>
      </c>
      <c r="B10" s="6">
        <v>1</v>
      </c>
      <c r="C10" s="6" t="s">
        <v>3</v>
      </c>
      <c r="D10" s="6" t="s">
        <v>3</v>
      </c>
      <c r="E10" s="11" t="s">
        <v>599</v>
      </c>
      <c r="F10" s="6" t="s">
        <v>3</v>
      </c>
      <c r="G10" s="6" t="s">
        <v>3</v>
      </c>
      <c r="H10" s="6"/>
    </row>
    <row r="11" spans="1:10" x14ac:dyDescent="0.25">
      <c r="A11" s="2" t="s">
        <v>248</v>
      </c>
      <c r="B11" s="6">
        <v>1</v>
      </c>
      <c r="C11" s="6" t="s">
        <v>3</v>
      </c>
      <c r="D11" s="6" t="s">
        <v>3</v>
      </c>
      <c r="E11" s="11" t="s">
        <v>775</v>
      </c>
      <c r="F11" s="6" t="s">
        <v>3</v>
      </c>
      <c r="G11" s="6" t="s">
        <v>3</v>
      </c>
      <c r="H11" s="6"/>
    </row>
    <row r="12" spans="1:10" x14ac:dyDescent="0.25">
      <c r="A12" s="2" t="s">
        <v>249</v>
      </c>
      <c r="B12" s="6">
        <v>1</v>
      </c>
      <c r="C12" s="6" t="s">
        <v>3</v>
      </c>
      <c r="D12" s="6" t="s">
        <v>3</v>
      </c>
      <c r="E12" s="11" t="s">
        <v>497</v>
      </c>
      <c r="F12" s="6" t="s">
        <v>3</v>
      </c>
      <c r="G12" s="6" t="s">
        <v>3</v>
      </c>
      <c r="H12" s="6"/>
    </row>
    <row r="13" spans="1:10" x14ac:dyDescent="0.25">
      <c r="A13" s="2" t="s">
        <v>547</v>
      </c>
      <c r="B13" s="6">
        <v>1</v>
      </c>
      <c r="C13" s="6" t="s">
        <v>3</v>
      </c>
      <c r="D13" s="6" t="s">
        <v>3</v>
      </c>
      <c r="E13" s="11" t="s">
        <v>553</v>
      </c>
      <c r="F13" s="6" t="s">
        <v>3</v>
      </c>
      <c r="G13" s="6" t="s">
        <v>3</v>
      </c>
      <c r="H13" s="6"/>
    </row>
    <row r="14" spans="1:10" x14ac:dyDescent="0.25">
      <c r="A14" s="2" t="s">
        <v>188</v>
      </c>
      <c r="B14" s="6">
        <v>1</v>
      </c>
      <c r="C14" s="6" t="s">
        <v>3</v>
      </c>
      <c r="D14" s="6" t="s">
        <v>3</v>
      </c>
      <c r="E14" s="11" t="s">
        <v>649</v>
      </c>
      <c r="F14" s="6" t="s">
        <v>3</v>
      </c>
      <c r="G14" s="6" t="s">
        <v>3</v>
      </c>
      <c r="H14" s="6"/>
    </row>
    <row r="15" spans="1:10" x14ac:dyDescent="0.25">
      <c r="A15" s="2" t="s">
        <v>772</v>
      </c>
      <c r="B15" s="6">
        <v>1</v>
      </c>
      <c r="C15" s="6" t="s">
        <v>3</v>
      </c>
      <c r="D15" s="6" t="s">
        <v>3</v>
      </c>
      <c r="E15" s="11" t="s">
        <v>779</v>
      </c>
      <c r="F15" s="6" t="s">
        <v>3</v>
      </c>
      <c r="G15" s="6" t="s">
        <v>3</v>
      </c>
      <c r="H15" s="6"/>
    </row>
    <row r="16" spans="1:10" x14ac:dyDescent="0.25">
      <c r="A16" s="2" t="s">
        <v>773</v>
      </c>
      <c r="B16" s="6">
        <v>1</v>
      </c>
      <c r="C16" s="6" t="s">
        <v>3</v>
      </c>
      <c r="D16" s="6" t="s">
        <v>3</v>
      </c>
      <c r="E16" s="11" t="s">
        <v>780</v>
      </c>
      <c r="F16" s="6" t="s">
        <v>3</v>
      </c>
      <c r="G16" s="6" t="s">
        <v>3</v>
      </c>
      <c r="H16" s="6"/>
    </row>
    <row r="17" spans="1:8" s="79" customFormat="1" x14ac:dyDescent="0.25">
      <c r="A17" s="73" t="s">
        <v>912</v>
      </c>
      <c r="B17" s="74">
        <v>1</v>
      </c>
      <c r="C17" s="74" t="s">
        <v>3</v>
      </c>
      <c r="D17" s="74" t="s">
        <v>3</v>
      </c>
      <c r="E17" s="91" t="s">
        <v>939</v>
      </c>
      <c r="F17" s="74" t="s">
        <v>3</v>
      </c>
      <c r="G17" s="74" t="s">
        <v>3</v>
      </c>
      <c r="H17" s="74"/>
    </row>
    <row r="18" spans="1:8" s="79" customFormat="1" x14ac:dyDescent="0.25">
      <c r="A18" s="73" t="s">
        <v>913</v>
      </c>
      <c r="B18" s="74">
        <v>1</v>
      </c>
      <c r="C18" s="74" t="s">
        <v>3</v>
      </c>
      <c r="D18" s="74" t="s">
        <v>3</v>
      </c>
      <c r="E18" s="91" t="s">
        <v>987</v>
      </c>
      <c r="F18" s="74" t="s">
        <v>3</v>
      </c>
      <c r="G18" s="74" t="s">
        <v>3</v>
      </c>
      <c r="H18" s="74"/>
    </row>
    <row r="19" spans="1:8" x14ac:dyDescent="0.25">
      <c r="A19" s="2" t="s">
        <v>914</v>
      </c>
      <c r="B19" s="6">
        <v>1</v>
      </c>
      <c r="C19" s="6" t="s">
        <v>3</v>
      </c>
      <c r="D19" s="6" t="s">
        <v>3</v>
      </c>
      <c r="E19" s="11" t="s">
        <v>1128</v>
      </c>
      <c r="F19" s="6" t="s">
        <v>3</v>
      </c>
      <c r="G19" s="6" t="s">
        <v>3</v>
      </c>
      <c r="H19" s="6"/>
    </row>
    <row r="20" spans="1:8" x14ac:dyDescent="0.25">
      <c r="A20" s="2" t="s">
        <v>872</v>
      </c>
      <c r="B20" s="6">
        <v>1</v>
      </c>
      <c r="C20" s="6" t="s">
        <v>3</v>
      </c>
      <c r="D20" s="6" t="s">
        <v>3</v>
      </c>
      <c r="E20" s="11" t="s">
        <v>874</v>
      </c>
      <c r="F20" s="6" t="s">
        <v>3</v>
      </c>
      <c r="G20" s="6" t="s">
        <v>3</v>
      </c>
      <c r="H20" s="6"/>
    </row>
    <row r="21" spans="1:8" x14ac:dyDescent="0.25">
      <c r="A21" s="2" t="s">
        <v>918</v>
      </c>
      <c r="B21" s="6">
        <v>1</v>
      </c>
      <c r="C21" s="6" t="s">
        <v>3</v>
      </c>
      <c r="D21" s="6" t="s">
        <v>3</v>
      </c>
      <c r="E21" s="11" t="s">
        <v>1070</v>
      </c>
      <c r="F21" s="6" t="s">
        <v>3</v>
      </c>
      <c r="G21" s="6" t="s">
        <v>3</v>
      </c>
      <c r="H21" s="6"/>
    </row>
    <row r="22" spans="1:8" x14ac:dyDescent="0.25">
      <c r="A22" s="2" t="s">
        <v>919</v>
      </c>
      <c r="B22" s="6">
        <v>1</v>
      </c>
      <c r="C22" s="6" t="s">
        <v>3</v>
      </c>
      <c r="D22" s="6" t="s">
        <v>3</v>
      </c>
      <c r="E22" s="11" t="s">
        <v>1095</v>
      </c>
      <c r="F22" s="6" t="s">
        <v>3</v>
      </c>
      <c r="G22" s="6" t="s">
        <v>3</v>
      </c>
      <c r="H22" s="6"/>
    </row>
    <row r="23" spans="1:8" x14ac:dyDescent="0.25">
      <c r="A23" s="2" t="s">
        <v>920</v>
      </c>
      <c r="B23" s="6">
        <v>1</v>
      </c>
      <c r="C23" s="6" t="s">
        <v>3</v>
      </c>
      <c r="D23" s="6" t="s">
        <v>3</v>
      </c>
      <c r="E23" s="11" t="s">
        <v>1101</v>
      </c>
      <c r="F23" s="6" t="s">
        <v>3</v>
      </c>
      <c r="G23" s="6" t="s">
        <v>3</v>
      </c>
      <c r="H23" s="6"/>
    </row>
    <row r="24" spans="1:8" x14ac:dyDescent="0.25">
      <c r="A24" s="2" t="s">
        <v>921</v>
      </c>
      <c r="B24" s="6">
        <v>1</v>
      </c>
      <c r="C24" s="6" t="s">
        <v>3</v>
      </c>
      <c r="D24" s="6" t="s">
        <v>3</v>
      </c>
      <c r="E24" s="11" t="s">
        <v>1120</v>
      </c>
      <c r="F24" s="6" t="s">
        <v>3</v>
      </c>
      <c r="G24" s="6" t="s">
        <v>3</v>
      </c>
      <c r="H24" s="6"/>
    </row>
    <row r="25" spans="1:8" x14ac:dyDescent="0.25">
      <c r="A25" s="2" t="s">
        <v>922</v>
      </c>
      <c r="B25" s="6">
        <v>1</v>
      </c>
      <c r="C25" s="6" t="s">
        <v>3</v>
      </c>
      <c r="D25" s="6" t="s">
        <v>3</v>
      </c>
      <c r="E25" s="11" t="s">
        <v>1144</v>
      </c>
      <c r="F25" s="6" t="s">
        <v>3</v>
      </c>
      <c r="G25" s="6" t="s">
        <v>3</v>
      </c>
      <c r="H25" s="6"/>
    </row>
    <row r="26" spans="1:8" x14ac:dyDescent="0.25">
      <c r="A26" s="2" t="s">
        <v>1121</v>
      </c>
      <c r="B26" s="6">
        <v>1</v>
      </c>
      <c r="C26" s="6" t="s">
        <v>3</v>
      </c>
      <c r="D26" s="6" t="s">
        <v>3</v>
      </c>
      <c r="E26" s="11" t="s">
        <v>1158</v>
      </c>
      <c r="F26" s="6" t="s">
        <v>3</v>
      </c>
      <c r="G26" s="6" t="s">
        <v>3</v>
      </c>
      <c r="H26" s="6"/>
    </row>
    <row r="27" spans="1:8" x14ac:dyDescent="0.25">
      <c r="A27" s="2" t="s">
        <v>1122</v>
      </c>
      <c r="B27" s="6">
        <v>1</v>
      </c>
      <c r="C27" s="6" t="s">
        <v>3</v>
      </c>
      <c r="D27" s="6" t="s">
        <v>3</v>
      </c>
      <c r="E27" s="11" t="s">
        <v>1174</v>
      </c>
      <c r="F27" s="6" t="s">
        <v>3</v>
      </c>
      <c r="G27" s="6" t="s">
        <v>3</v>
      </c>
      <c r="H27" s="6"/>
    </row>
    <row r="28" spans="1:8" x14ac:dyDescent="0.25">
      <c r="A28" s="2" t="s">
        <v>1123</v>
      </c>
      <c r="B28" s="6">
        <v>1</v>
      </c>
      <c r="C28" s="6" t="s">
        <v>3</v>
      </c>
      <c r="D28" s="6" t="s">
        <v>3</v>
      </c>
      <c r="E28" s="11" t="s">
        <v>1175</v>
      </c>
      <c r="F28" s="6" t="s">
        <v>3</v>
      </c>
      <c r="G28" s="6" t="s">
        <v>3</v>
      </c>
      <c r="H28" s="6"/>
    </row>
    <row r="29" spans="1:8" x14ac:dyDescent="0.25">
      <c r="A29" s="2" t="s">
        <v>1157</v>
      </c>
      <c r="B29" s="6">
        <v>1</v>
      </c>
      <c r="C29" s="6" t="s">
        <v>3</v>
      </c>
      <c r="D29" s="6" t="s">
        <v>3</v>
      </c>
      <c r="E29" s="11" t="s">
        <v>1176</v>
      </c>
      <c r="F29" s="6" t="s">
        <v>3</v>
      </c>
      <c r="G29" s="6" t="s">
        <v>3</v>
      </c>
      <c r="H29" s="6"/>
    </row>
    <row r="30" spans="1:8" x14ac:dyDescent="0.25">
      <c r="A30" s="2" t="s">
        <v>1163</v>
      </c>
      <c r="B30" s="6">
        <v>1</v>
      </c>
      <c r="C30" s="6" t="s">
        <v>3</v>
      </c>
      <c r="D30" s="6" t="s">
        <v>3</v>
      </c>
      <c r="E30" s="11" t="s">
        <v>1177</v>
      </c>
      <c r="F30" s="6" t="s">
        <v>3</v>
      </c>
      <c r="G30" s="6" t="s">
        <v>3</v>
      </c>
      <c r="H30" s="6"/>
    </row>
    <row r="31" spans="1:8" x14ac:dyDescent="0.25">
      <c r="A31" s="2" t="s">
        <v>1164</v>
      </c>
      <c r="B31" s="6">
        <v>1</v>
      </c>
      <c r="C31" s="6" t="s">
        <v>3</v>
      </c>
      <c r="D31" s="6" t="s">
        <v>3</v>
      </c>
      <c r="E31" s="11" t="s">
        <v>1233</v>
      </c>
      <c r="F31" s="6" t="s">
        <v>3</v>
      </c>
      <c r="G31" s="6" t="s">
        <v>3</v>
      </c>
      <c r="H31" s="6"/>
    </row>
    <row r="32" spans="1:8" x14ac:dyDescent="0.25">
      <c r="A32" s="2" t="s">
        <v>1165</v>
      </c>
      <c r="B32" s="6">
        <v>1</v>
      </c>
      <c r="C32" s="6" t="s">
        <v>3</v>
      </c>
      <c r="D32" s="6" t="s">
        <v>3</v>
      </c>
      <c r="E32" s="11" t="s">
        <v>1360</v>
      </c>
      <c r="F32" s="6" t="s">
        <v>3</v>
      </c>
      <c r="G32" s="6" t="s">
        <v>3</v>
      </c>
      <c r="H32" s="6"/>
    </row>
    <row r="33" spans="1:8" x14ac:dyDescent="0.25">
      <c r="A33" s="2" t="s">
        <v>1166</v>
      </c>
      <c r="B33" s="6">
        <v>1</v>
      </c>
      <c r="C33" s="6" t="s">
        <v>3</v>
      </c>
      <c r="D33" s="6" t="s">
        <v>3</v>
      </c>
      <c r="E33" s="11" t="s">
        <v>1361</v>
      </c>
      <c r="F33" s="6" t="s">
        <v>3</v>
      </c>
      <c r="G33" s="6" t="s">
        <v>3</v>
      </c>
      <c r="H33" s="6"/>
    </row>
    <row r="34" spans="1:8" x14ac:dyDescent="0.25">
      <c r="A34" s="2" t="s">
        <v>1167</v>
      </c>
      <c r="B34" s="6">
        <v>1</v>
      </c>
      <c r="C34" s="6" t="s">
        <v>3</v>
      </c>
      <c r="D34" s="6" t="s">
        <v>3</v>
      </c>
      <c r="E34" s="11" t="s">
        <v>1362</v>
      </c>
      <c r="F34" s="6" t="s">
        <v>3</v>
      </c>
      <c r="G34" s="6" t="s">
        <v>3</v>
      </c>
      <c r="H34" s="6"/>
    </row>
    <row r="35" spans="1:8" x14ac:dyDescent="0.25">
      <c r="A35" s="2" t="s">
        <v>1168</v>
      </c>
      <c r="B35" s="6">
        <v>1</v>
      </c>
      <c r="C35" s="6" t="s">
        <v>3</v>
      </c>
      <c r="D35" s="6" t="s">
        <v>3</v>
      </c>
      <c r="E35" s="11" t="s">
        <v>1363</v>
      </c>
      <c r="F35" s="6" t="s">
        <v>3</v>
      </c>
      <c r="G35" s="6" t="s">
        <v>3</v>
      </c>
      <c r="H35" s="6"/>
    </row>
    <row r="36" spans="1:8" x14ac:dyDescent="0.25">
      <c r="A36" s="2" t="s">
        <v>1169</v>
      </c>
      <c r="B36" s="6">
        <v>1</v>
      </c>
      <c r="C36" s="6" t="s">
        <v>3</v>
      </c>
      <c r="D36" s="6" t="s">
        <v>3</v>
      </c>
      <c r="E36" s="11" t="s">
        <v>1364</v>
      </c>
      <c r="F36" s="6" t="s">
        <v>3</v>
      </c>
      <c r="G36" s="6" t="s">
        <v>3</v>
      </c>
      <c r="H36" s="6"/>
    </row>
    <row r="37" spans="1:8" x14ac:dyDescent="0.25">
      <c r="A37" s="2" t="s">
        <v>1170</v>
      </c>
      <c r="B37" s="6">
        <v>1</v>
      </c>
      <c r="C37" s="6" t="s">
        <v>3</v>
      </c>
      <c r="D37" s="6" t="s">
        <v>3</v>
      </c>
      <c r="E37" s="11" t="s">
        <v>1577</v>
      </c>
      <c r="F37" s="6" t="s">
        <v>3</v>
      </c>
      <c r="G37" s="6" t="s">
        <v>3</v>
      </c>
      <c r="H37" s="6"/>
    </row>
    <row r="38" spans="1:8" x14ac:dyDescent="0.25">
      <c r="A38" s="2" t="s">
        <v>1171</v>
      </c>
      <c r="B38" s="6">
        <v>1</v>
      </c>
      <c r="C38" s="6" t="s">
        <v>3</v>
      </c>
      <c r="D38" s="6" t="s">
        <v>3</v>
      </c>
      <c r="E38" s="11" t="s">
        <v>1716</v>
      </c>
      <c r="F38" s="6" t="s">
        <v>3</v>
      </c>
      <c r="G38" s="6" t="s">
        <v>3</v>
      </c>
      <c r="H38" s="6"/>
    </row>
    <row r="39" spans="1:8" x14ac:dyDescent="0.25">
      <c r="A39" s="2" t="s">
        <v>1172</v>
      </c>
      <c r="B39" s="6">
        <v>1</v>
      </c>
      <c r="C39" s="6" t="s">
        <v>3</v>
      </c>
      <c r="D39" s="6" t="s">
        <v>3</v>
      </c>
      <c r="E39" s="11" t="s">
        <v>1732</v>
      </c>
      <c r="F39" s="6" t="s">
        <v>3</v>
      </c>
      <c r="G39" s="6" t="s">
        <v>3</v>
      </c>
      <c r="H39" s="6"/>
    </row>
    <row r="40" spans="1:8" x14ac:dyDescent="0.25">
      <c r="A40" s="2" t="s">
        <v>1173</v>
      </c>
      <c r="B40" s="6">
        <v>1</v>
      </c>
      <c r="C40" s="6" t="s">
        <v>3</v>
      </c>
      <c r="D40" s="6" t="s">
        <v>3</v>
      </c>
      <c r="E40" s="11" t="s">
        <v>1747</v>
      </c>
      <c r="F40" s="6" t="s">
        <v>3</v>
      </c>
      <c r="G40" s="6" t="s">
        <v>3</v>
      </c>
      <c r="H40" s="6"/>
    </row>
    <row r="41" spans="1:8" x14ac:dyDescent="0.25">
      <c r="A41" s="2" t="s">
        <v>1227</v>
      </c>
      <c r="B41" s="6">
        <v>1</v>
      </c>
      <c r="C41" s="6" t="s">
        <v>3</v>
      </c>
      <c r="D41" s="6" t="s">
        <v>3</v>
      </c>
      <c r="E41" s="11" t="s">
        <v>1761</v>
      </c>
      <c r="F41" s="6" t="s">
        <v>3</v>
      </c>
      <c r="G41" s="6" t="s">
        <v>3</v>
      </c>
      <c r="H41" s="6"/>
    </row>
    <row r="42" spans="1:8" x14ac:dyDescent="0.25">
      <c r="A42" s="2" t="s">
        <v>1228</v>
      </c>
      <c r="B42" s="6">
        <v>1</v>
      </c>
      <c r="C42" s="6" t="s">
        <v>3</v>
      </c>
      <c r="D42" s="6" t="s">
        <v>3</v>
      </c>
      <c r="E42" s="11" t="s">
        <v>1762</v>
      </c>
      <c r="F42" s="6" t="s">
        <v>3</v>
      </c>
      <c r="G42" s="6" t="s">
        <v>3</v>
      </c>
      <c r="H42" s="6"/>
    </row>
    <row r="43" spans="1:8" x14ac:dyDescent="0.25">
      <c r="A43" s="2" t="s">
        <v>1229</v>
      </c>
      <c r="B43" s="6">
        <v>1</v>
      </c>
      <c r="C43" s="6" t="s">
        <v>3</v>
      </c>
      <c r="D43" s="6" t="s">
        <v>3</v>
      </c>
      <c r="E43" s="11" t="s">
        <v>1763</v>
      </c>
      <c r="F43" s="6" t="s">
        <v>3</v>
      </c>
      <c r="G43" s="6" t="s">
        <v>3</v>
      </c>
      <c r="H43" s="6"/>
    </row>
    <row r="44" spans="1:8" x14ac:dyDescent="0.25">
      <c r="A44" s="2" t="s">
        <v>1230</v>
      </c>
      <c r="B44" s="6">
        <v>1</v>
      </c>
      <c r="C44" s="6" t="s">
        <v>3</v>
      </c>
      <c r="D44" s="6" t="s">
        <v>3</v>
      </c>
      <c r="E44" s="11" t="s">
        <v>2025</v>
      </c>
      <c r="F44" s="6" t="s">
        <v>3</v>
      </c>
      <c r="G44" s="6" t="s">
        <v>3</v>
      </c>
      <c r="H44" s="6"/>
    </row>
    <row r="45" spans="1:8" x14ac:dyDescent="0.25">
      <c r="A45" s="2" t="s">
        <v>1231</v>
      </c>
      <c r="B45" s="6">
        <v>1</v>
      </c>
      <c r="C45" s="6" t="s">
        <v>3</v>
      </c>
      <c r="D45" s="6" t="s">
        <v>3</v>
      </c>
      <c r="E45" s="11" t="s">
        <v>2026</v>
      </c>
      <c r="F45" s="6" t="s">
        <v>3</v>
      </c>
      <c r="G45" s="6" t="s">
        <v>3</v>
      </c>
      <c r="H45" s="6"/>
    </row>
    <row r="46" spans="1:8" x14ac:dyDescent="0.25">
      <c r="A46" s="2" t="s">
        <v>1359</v>
      </c>
      <c r="B46" s="6">
        <v>1</v>
      </c>
      <c r="C46" s="6" t="s">
        <v>3</v>
      </c>
      <c r="D46" s="6" t="s">
        <v>3</v>
      </c>
      <c r="E46" s="11" t="s">
        <v>2027</v>
      </c>
      <c r="F46" s="6" t="s">
        <v>3</v>
      </c>
      <c r="G46" s="6" t="s">
        <v>3</v>
      </c>
      <c r="H46" s="6"/>
    </row>
    <row r="47" spans="1:8" x14ac:dyDescent="0.25">
      <c r="A47" s="2" t="s">
        <v>2016</v>
      </c>
      <c r="B47" s="6">
        <v>1</v>
      </c>
      <c r="C47" s="6" t="s">
        <v>3</v>
      </c>
      <c r="D47" s="6" t="s">
        <v>3</v>
      </c>
      <c r="E47" s="11" t="s">
        <v>2028</v>
      </c>
      <c r="F47" s="6" t="s">
        <v>3</v>
      </c>
      <c r="G47" s="6" t="s">
        <v>3</v>
      </c>
      <c r="H47" s="6"/>
    </row>
    <row r="48" spans="1:8" x14ac:dyDescent="0.25">
      <c r="A48" s="2" t="s">
        <v>2017</v>
      </c>
      <c r="B48" s="6">
        <v>1</v>
      </c>
      <c r="C48" s="6" t="s">
        <v>3</v>
      </c>
      <c r="D48" s="6" t="s">
        <v>3</v>
      </c>
      <c r="E48" s="11" t="s">
        <v>2029</v>
      </c>
      <c r="F48" s="6" t="s">
        <v>3</v>
      </c>
      <c r="G48" s="6" t="s">
        <v>3</v>
      </c>
      <c r="H48" s="6"/>
    </row>
    <row r="49" spans="1:8" x14ac:dyDescent="0.25">
      <c r="A49" s="2" t="s">
        <v>2018</v>
      </c>
      <c r="B49" s="6">
        <v>1</v>
      </c>
      <c r="C49" s="6" t="s">
        <v>3</v>
      </c>
      <c r="D49" s="6" t="s">
        <v>3</v>
      </c>
      <c r="E49" s="11" t="s">
        <v>2030</v>
      </c>
      <c r="F49" s="6" t="s">
        <v>3</v>
      </c>
      <c r="G49" s="6" t="s">
        <v>3</v>
      </c>
      <c r="H49" s="6"/>
    </row>
    <row r="50" spans="1:8" x14ac:dyDescent="0.25">
      <c r="A50" s="2" t="s">
        <v>2019</v>
      </c>
      <c r="B50" s="6">
        <v>1</v>
      </c>
      <c r="C50" s="6" t="s">
        <v>3</v>
      </c>
      <c r="D50" s="6" t="s">
        <v>3</v>
      </c>
      <c r="E50" s="11" t="s">
        <v>2031</v>
      </c>
      <c r="F50" s="6" t="s">
        <v>3</v>
      </c>
      <c r="G50" s="6" t="s">
        <v>3</v>
      </c>
      <c r="H50" s="6"/>
    </row>
    <row r="51" spans="1:8" x14ac:dyDescent="0.25">
      <c r="A51" s="2" t="s">
        <v>2020</v>
      </c>
      <c r="B51" s="6">
        <v>1</v>
      </c>
      <c r="C51" s="6" t="s">
        <v>3</v>
      </c>
      <c r="D51" s="6" t="s">
        <v>3</v>
      </c>
      <c r="E51" s="11" t="s">
        <v>2032</v>
      </c>
      <c r="F51" s="6" t="s">
        <v>3</v>
      </c>
      <c r="G51" s="6" t="s">
        <v>3</v>
      </c>
      <c r="H51" s="6"/>
    </row>
    <row r="52" spans="1:8" x14ac:dyDescent="0.25">
      <c r="A52" s="2" t="s">
        <v>2021</v>
      </c>
      <c r="B52" s="6">
        <v>1</v>
      </c>
      <c r="C52" s="6" t="s">
        <v>3</v>
      </c>
      <c r="D52" s="6" t="s">
        <v>3</v>
      </c>
      <c r="E52" s="11" t="s">
        <v>2145</v>
      </c>
      <c r="F52" s="6" t="s">
        <v>3</v>
      </c>
      <c r="G52" s="6" t="s">
        <v>3</v>
      </c>
      <c r="H52" s="6"/>
    </row>
    <row r="53" spans="1:8" x14ac:dyDescent="0.25">
      <c r="A53" s="2" t="s">
        <v>2022</v>
      </c>
      <c r="B53" s="6">
        <v>1</v>
      </c>
      <c r="C53" s="6" t="s">
        <v>3</v>
      </c>
      <c r="D53" s="6" t="s">
        <v>3</v>
      </c>
      <c r="E53" s="11" t="s">
        <v>2146</v>
      </c>
      <c r="F53" s="6" t="s">
        <v>3</v>
      </c>
      <c r="G53" s="6" t="s">
        <v>3</v>
      </c>
      <c r="H53" s="6"/>
    </row>
    <row r="54" spans="1:8" x14ac:dyDescent="0.25">
      <c r="A54" s="2" t="s">
        <v>2023</v>
      </c>
      <c r="B54" s="6">
        <v>1</v>
      </c>
      <c r="C54" s="6" t="s">
        <v>3</v>
      </c>
      <c r="D54" s="6" t="s">
        <v>3</v>
      </c>
      <c r="E54" s="11" t="s">
        <v>2147</v>
      </c>
      <c r="F54" s="6" t="s">
        <v>3</v>
      </c>
      <c r="G54" s="6" t="s">
        <v>3</v>
      </c>
      <c r="H54" s="6"/>
    </row>
    <row r="55" spans="1:8" x14ac:dyDescent="0.25">
      <c r="A55" s="2" t="s">
        <v>2024</v>
      </c>
      <c r="B55" s="6">
        <v>1</v>
      </c>
      <c r="C55" s="6" t="s">
        <v>3</v>
      </c>
      <c r="D55" s="6" t="s">
        <v>3</v>
      </c>
      <c r="E55" s="11" t="s">
        <v>2148</v>
      </c>
      <c r="F55" s="6" t="s">
        <v>3</v>
      </c>
      <c r="G55" s="6" t="s">
        <v>3</v>
      </c>
      <c r="H55" s="6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52"/>
  <sheetViews>
    <sheetView topLeftCell="A31" zoomScale="86" zoomScaleNormal="86" workbookViewId="0">
      <selection activeCell="A53" sqref="A53"/>
    </sheetView>
  </sheetViews>
  <sheetFormatPr defaultRowHeight="15" x14ac:dyDescent="0.25"/>
  <cols>
    <col min="1" max="1" width="8.5703125" style="1" bestFit="1" customWidth="1" collapsed="1"/>
    <col min="2" max="2" width="11.140625" style="1" bestFit="1" customWidth="1" collapsed="1"/>
    <col min="3" max="3" width="20.140625" style="1" bestFit="1" customWidth="1" collapsed="1"/>
    <col min="4" max="5" width="16.85546875" style="1" bestFit="1" customWidth="1" collapsed="1"/>
    <col min="6" max="6" width="24" style="1" bestFit="1" customWidth="1" collapsed="1"/>
    <col min="7" max="7" width="9.5703125" style="1" bestFit="1" customWidth="1" collapsed="1"/>
    <col min="8" max="8" width="15" style="1" bestFit="1" customWidth="1" collapsed="1"/>
    <col min="9" max="9" width="13" style="1" bestFit="1" customWidth="1" collapsed="1"/>
    <col min="10" max="10" width="14.5703125" style="1" bestFit="1" customWidth="1" collapsed="1"/>
    <col min="11" max="11" width="13.85546875" style="1" bestFit="1" customWidth="1" collapsed="1"/>
    <col min="12" max="12" width="25.28515625" style="1" bestFit="1" customWidth="1" collapsed="1"/>
    <col min="13" max="13" width="21.85546875" style="1" bestFit="1" customWidth="1" collapsed="1"/>
    <col min="14" max="14" width="22.28515625" style="1" bestFit="1" customWidth="1" collapsed="1"/>
    <col min="15" max="15" width="23.5703125" style="1" bestFit="1" customWidth="1" collapsed="1"/>
    <col min="16" max="16" width="25.85546875" style="1" bestFit="1" customWidth="1" collapsed="1"/>
    <col min="17" max="17" width="19.28515625" style="1" bestFit="1" customWidth="1" collapsed="1"/>
    <col min="18" max="18" width="14" style="1" bestFit="1" customWidth="1" collapsed="1"/>
    <col min="19" max="19" width="17.7109375" style="1" bestFit="1" customWidth="1" collapsed="1"/>
    <col min="20" max="20" width="26.85546875" style="1" bestFit="1" customWidth="1" collapsed="1"/>
    <col min="21" max="21" width="22.140625" style="1" bestFit="1" customWidth="1" collapsed="1"/>
    <col min="22" max="22" width="26.28515625" style="1" bestFit="1" customWidth="1" collapsed="1"/>
    <col min="23" max="23" width="21" style="1" bestFit="1" customWidth="1" collapsed="1"/>
    <col min="24" max="24" width="19.140625" style="1" bestFit="1" customWidth="1" collapsed="1"/>
    <col min="25" max="25" width="10.28515625" style="1" bestFit="1" customWidth="1" collapsed="1"/>
    <col min="26" max="26" width="13.42578125" style="1" bestFit="1" customWidth="1" collapsed="1"/>
    <col min="27" max="27" width="13.5703125" style="1" bestFit="1" customWidth="1" collapsed="1"/>
    <col min="28" max="28" width="10" style="1" bestFit="1" customWidth="1" collapsed="1"/>
    <col min="29" max="29" width="25.85546875" style="1" bestFit="1" customWidth="1" collapsed="1"/>
    <col min="30" max="30" width="26.28515625" style="1" bestFit="1" customWidth="1" collapsed="1"/>
    <col min="31" max="31" width="25" style="1" bestFit="1" customWidth="1" collapsed="1"/>
    <col min="32" max="16384" width="9.140625" style="1" collapsed="1"/>
  </cols>
  <sheetData>
    <row r="1" spans="1:31" ht="15.75" thickBot="1" x14ac:dyDescent="0.3">
      <c r="A1" s="9" t="s">
        <v>0</v>
      </c>
      <c r="B1" s="5" t="s">
        <v>18</v>
      </c>
      <c r="C1" s="5" t="s">
        <v>43</v>
      </c>
      <c r="D1" s="5" t="s">
        <v>35</v>
      </c>
      <c r="E1" s="5" t="s">
        <v>36</v>
      </c>
      <c r="F1" s="5" t="s">
        <v>37</v>
      </c>
      <c r="G1" s="5" t="s">
        <v>84</v>
      </c>
      <c r="H1" s="5" t="s">
        <v>38</v>
      </c>
      <c r="I1" s="5" t="s">
        <v>39</v>
      </c>
      <c r="J1" s="5" t="s">
        <v>83</v>
      </c>
      <c r="K1" s="5" t="s">
        <v>291</v>
      </c>
      <c r="L1" s="82" t="s">
        <v>953</v>
      </c>
      <c r="M1" s="83" t="s">
        <v>954</v>
      </c>
      <c r="N1" s="83" t="s">
        <v>955</v>
      </c>
      <c r="O1" s="83" t="s">
        <v>956</v>
      </c>
      <c r="P1" s="83" t="s">
        <v>957</v>
      </c>
      <c r="Q1" s="9" t="s">
        <v>40</v>
      </c>
      <c r="R1" s="10" t="s">
        <v>41</v>
      </c>
      <c r="S1" s="10" t="s">
        <v>42</v>
      </c>
      <c r="T1" s="10" t="s">
        <v>46</v>
      </c>
      <c r="U1" s="10" t="s">
        <v>31</v>
      </c>
      <c r="V1" s="10" t="s">
        <v>32</v>
      </c>
      <c r="W1" s="10" t="s">
        <v>33</v>
      </c>
      <c r="X1" s="10" t="s">
        <v>86</v>
      </c>
      <c r="Y1" s="10" t="s">
        <v>299</v>
      </c>
      <c r="Z1" s="10" t="s">
        <v>34</v>
      </c>
      <c r="AA1" s="10" t="s">
        <v>171</v>
      </c>
      <c r="AB1" s="10" t="s">
        <v>87</v>
      </c>
      <c r="AC1" s="10" t="s">
        <v>897</v>
      </c>
      <c r="AD1" s="10" t="s">
        <v>861</v>
      </c>
      <c r="AE1" s="10" t="s">
        <v>805</v>
      </c>
    </row>
    <row r="2" spans="1:31" x14ac:dyDescent="0.25">
      <c r="A2" s="2" t="s">
        <v>1</v>
      </c>
      <c r="B2" s="6">
        <v>1</v>
      </c>
      <c r="C2" t="s">
        <v>1552</v>
      </c>
      <c r="D2"/>
      <c r="E2"/>
      <c r="F2" s="6" t="s">
        <v>164</v>
      </c>
      <c r="G2"/>
      <c r="H2"/>
      <c r="I2"/>
      <c r="J2" s="12" t="s">
        <v>3</v>
      </c>
      <c r="K2" s="11" t="s">
        <v>29</v>
      </c>
      <c r="L2"/>
      <c r="M2"/>
      <c r="N2"/>
      <c r="O2"/>
      <c r="P2"/>
      <c r="Q2"/>
      <c r="R2" s="6" t="s">
        <v>30</v>
      </c>
      <c r="S2" s="6" t="s">
        <v>3</v>
      </c>
      <c r="T2" s="6" t="s">
        <v>85</v>
      </c>
      <c r="U2" s="6" t="s">
        <v>3</v>
      </c>
      <c r="V2" s="6" t="s">
        <v>3</v>
      </c>
      <c r="W2"/>
      <c r="X2" s="6" t="s">
        <v>3</v>
      </c>
      <c r="Y2"/>
      <c r="Z2" s="6" t="s">
        <v>3</v>
      </c>
      <c r="AA2"/>
      <c r="AB2" s="6" t="s">
        <v>3</v>
      </c>
      <c r="AC2" s="6" t="s">
        <v>3</v>
      </c>
      <c r="AD2" s="2" t="s">
        <v>3</v>
      </c>
      <c r="AE2" s="2" t="s">
        <v>862</v>
      </c>
    </row>
    <row r="3" spans="1:31" x14ac:dyDescent="0.25">
      <c r="A3" s="2" t="s">
        <v>2</v>
      </c>
      <c r="B3" s="6">
        <v>1</v>
      </c>
      <c r="C3" t="s">
        <v>1555</v>
      </c>
      <c r="D3"/>
      <c r="E3"/>
      <c r="F3" s="11" t="s">
        <v>501</v>
      </c>
      <c r="G3"/>
      <c r="H3"/>
      <c r="I3"/>
      <c r="J3" s="12" t="s">
        <v>3</v>
      </c>
      <c r="K3" s="11" t="s">
        <v>502</v>
      </c>
      <c r="L3"/>
      <c r="M3"/>
      <c r="N3"/>
      <c r="O3"/>
      <c r="P3"/>
      <c r="Q3"/>
      <c r="R3" s="6" t="s">
        <v>30</v>
      </c>
      <c r="S3" s="6" t="s">
        <v>3</v>
      </c>
      <c r="T3" s="6" t="s">
        <v>85</v>
      </c>
      <c r="U3" s="6" t="s">
        <v>3</v>
      </c>
      <c r="V3" s="6" t="s">
        <v>3</v>
      </c>
      <c r="W3"/>
      <c r="X3" s="6" t="s">
        <v>3</v>
      </c>
      <c r="Y3"/>
      <c r="Z3" s="6" t="s">
        <v>3</v>
      </c>
      <c r="AA3"/>
      <c r="AB3" s="6" t="s">
        <v>3</v>
      </c>
      <c r="AC3" s="6" t="s">
        <v>3</v>
      </c>
      <c r="AD3" s="2" t="s">
        <v>3</v>
      </c>
      <c r="AE3" s="2" t="s">
        <v>862</v>
      </c>
    </row>
    <row r="4" spans="1:31" x14ac:dyDescent="0.25">
      <c r="A4" s="2" t="s">
        <v>16</v>
      </c>
      <c r="B4" s="6">
        <v>1</v>
      </c>
      <c r="C4" t="s">
        <v>1554</v>
      </c>
      <c r="D4"/>
      <c r="E4"/>
      <c r="F4" s="6" t="s">
        <v>164</v>
      </c>
      <c r="G4"/>
      <c r="H4"/>
      <c r="I4"/>
      <c r="J4" s="12" t="s">
        <v>3</v>
      </c>
      <c r="K4" s="11" t="s">
        <v>29</v>
      </c>
      <c r="L4"/>
      <c r="M4"/>
      <c r="N4"/>
      <c r="O4"/>
      <c r="P4"/>
      <c r="Q4"/>
      <c r="R4" s="6" t="s">
        <v>30</v>
      </c>
      <c r="S4" s="6" t="s">
        <v>3</v>
      </c>
      <c r="T4" s="6" t="s">
        <v>85</v>
      </c>
      <c r="U4" s="6" t="s">
        <v>3</v>
      </c>
      <c r="V4" s="6" t="s">
        <v>3</v>
      </c>
      <c r="W4"/>
      <c r="X4" s="6" t="s">
        <v>3</v>
      </c>
      <c r="Y4"/>
      <c r="Z4" s="6" t="s">
        <v>3</v>
      </c>
      <c r="AA4"/>
      <c r="AB4" s="6" t="s">
        <v>3</v>
      </c>
      <c r="AC4" s="6" t="s">
        <v>3</v>
      </c>
      <c r="AD4" s="2" t="s">
        <v>3</v>
      </c>
      <c r="AE4" s="2" t="s">
        <v>862</v>
      </c>
    </row>
    <row r="5" spans="1:31" x14ac:dyDescent="0.25">
      <c r="A5" s="2" t="s">
        <v>114</v>
      </c>
      <c r="B5" s="6">
        <v>1</v>
      </c>
      <c r="C5" t="s">
        <v>1553</v>
      </c>
      <c r="D5"/>
      <c r="E5"/>
      <c r="F5" s="34" t="s">
        <v>315</v>
      </c>
      <c r="G5"/>
      <c r="H5"/>
      <c r="I5"/>
      <c r="J5" s="12" t="s">
        <v>3</v>
      </c>
      <c r="K5" s="32" t="s">
        <v>300</v>
      </c>
      <c r="L5"/>
      <c r="M5"/>
      <c r="N5"/>
      <c r="O5"/>
      <c r="P5"/>
      <c r="Q5"/>
      <c r="R5" s="6" t="s">
        <v>30</v>
      </c>
      <c r="S5" s="6" t="s">
        <v>3</v>
      </c>
      <c r="T5" s="6" t="s">
        <v>85</v>
      </c>
      <c r="U5" s="6" t="s">
        <v>3</v>
      </c>
      <c r="V5" s="6" t="s">
        <v>3</v>
      </c>
      <c r="W5"/>
      <c r="X5" s="6" t="s">
        <v>3</v>
      </c>
      <c r="Y5"/>
      <c r="Z5" s="6" t="s">
        <v>3</v>
      </c>
      <c r="AA5"/>
      <c r="AB5" s="6" t="s">
        <v>3</v>
      </c>
      <c r="AC5" s="6" t="s">
        <v>3</v>
      </c>
      <c r="AD5" s="2" t="s">
        <v>3</v>
      </c>
      <c r="AE5" s="2" t="s">
        <v>862</v>
      </c>
    </row>
    <row r="6" spans="1:31" x14ac:dyDescent="0.25">
      <c r="A6" s="2" t="s">
        <v>134</v>
      </c>
      <c r="B6" s="6">
        <v>1</v>
      </c>
      <c r="C6" t="s">
        <v>1382</v>
      </c>
      <c r="D6"/>
      <c r="E6"/>
      <c r="F6" s="34" t="s">
        <v>315</v>
      </c>
      <c r="G6"/>
      <c r="H6"/>
      <c r="I6"/>
      <c r="J6" s="12" t="s">
        <v>3</v>
      </c>
      <c r="K6" s="32" t="s">
        <v>300</v>
      </c>
      <c r="L6"/>
      <c r="M6"/>
      <c r="N6"/>
      <c r="O6"/>
      <c r="P6"/>
      <c r="Q6"/>
      <c r="R6" s="6" t="s">
        <v>30</v>
      </c>
      <c r="S6" s="6" t="s">
        <v>3</v>
      </c>
      <c r="T6" s="6" t="s">
        <v>85</v>
      </c>
      <c r="U6" s="6" t="s">
        <v>3</v>
      </c>
      <c r="V6" s="6" t="s">
        <v>3</v>
      </c>
      <c r="W6"/>
      <c r="X6" s="6" t="s">
        <v>3</v>
      </c>
      <c r="Y6"/>
      <c r="Z6" s="6" t="s">
        <v>3</v>
      </c>
      <c r="AA6"/>
      <c r="AB6" s="6" t="s">
        <v>3</v>
      </c>
      <c r="AC6" s="6" t="s">
        <v>3</v>
      </c>
      <c r="AD6" s="2" t="s">
        <v>3</v>
      </c>
      <c r="AE6" s="2" t="s">
        <v>862</v>
      </c>
    </row>
    <row r="7" spans="1:31" x14ac:dyDescent="0.25">
      <c r="A7" s="2" t="s">
        <v>135</v>
      </c>
      <c r="B7" s="6">
        <v>1</v>
      </c>
      <c r="C7" t="s">
        <v>1428</v>
      </c>
      <c r="D7"/>
      <c r="E7"/>
      <c r="F7" s="34" t="s">
        <v>315</v>
      </c>
      <c r="G7"/>
      <c r="H7"/>
      <c r="I7"/>
      <c r="J7" s="12" t="s">
        <v>3</v>
      </c>
      <c r="K7" s="32" t="s">
        <v>300</v>
      </c>
      <c r="L7"/>
      <c r="M7"/>
      <c r="N7"/>
      <c r="O7"/>
      <c r="P7"/>
      <c r="Q7"/>
      <c r="R7" s="6" t="s">
        <v>30</v>
      </c>
      <c r="S7" s="6" t="s">
        <v>3</v>
      </c>
      <c r="T7" s="6" t="s">
        <v>85</v>
      </c>
      <c r="U7" s="6" t="s">
        <v>3</v>
      </c>
      <c r="V7" s="6" t="s">
        <v>3</v>
      </c>
      <c r="W7"/>
      <c r="X7" s="6" t="s">
        <v>3</v>
      </c>
      <c r="Y7"/>
      <c r="Z7" s="6" t="s">
        <v>3</v>
      </c>
      <c r="AA7"/>
      <c r="AB7" s="6" t="s">
        <v>3</v>
      </c>
      <c r="AC7" s="6" t="s">
        <v>3</v>
      </c>
      <c r="AD7" s="2" t="s">
        <v>3</v>
      </c>
      <c r="AE7" s="2" t="s">
        <v>862</v>
      </c>
    </row>
    <row r="8" spans="1:31" x14ac:dyDescent="0.25">
      <c r="A8" s="2" t="s">
        <v>136</v>
      </c>
      <c r="B8" s="6">
        <v>1</v>
      </c>
      <c r="C8" s="12" t="s">
        <v>771</v>
      </c>
      <c r="D8"/>
      <c r="E8"/>
      <c r="F8" s="34" t="s">
        <v>315</v>
      </c>
      <c r="G8"/>
      <c r="H8"/>
      <c r="I8"/>
      <c r="J8" s="12" t="s">
        <v>3</v>
      </c>
      <c r="K8" s="32" t="s">
        <v>300</v>
      </c>
      <c r="L8"/>
      <c r="M8"/>
      <c r="N8"/>
      <c r="O8"/>
      <c r="P8"/>
      <c r="Q8"/>
      <c r="R8" s="6" t="s">
        <v>30</v>
      </c>
      <c r="S8" s="6" t="s">
        <v>3</v>
      </c>
      <c r="T8" s="6" t="s">
        <v>85</v>
      </c>
      <c r="U8" s="6" t="s">
        <v>3</v>
      </c>
      <c r="V8" s="6" t="s">
        <v>3</v>
      </c>
      <c r="W8"/>
      <c r="X8" s="6" t="s">
        <v>3</v>
      </c>
      <c r="Y8"/>
      <c r="Z8" s="6" t="s">
        <v>3</v>
      </c>
      <c r="AA8"/>
      <c r="AB8" s="6" t="s">
        <v>3</v>
      </c>
      <c r="AC8" s="6" t="s">
        <v>3</v>
      </c>
      <c r="AD8" s="2" t="s">
        <v>3</v>
      </c>
      <c r="AE8" s="2" t="s">
        <v>862</v>
      </c>
    </row>
    <row r="9" spans="1:31" x14ac:dyDescent="0.25">
      <c r="A9" s="2" t="s">
        <v>157</v>
      </c>
      <c r="B9" s="6">
        <v>1</v>
      </c>
      <c r="C9" t="s">
        <v>1423</v>
      </c>
      <c r="D9"/>
      <c r="E9"/>
      <c r="F9" s="34" t="s">
        <v>579</v>
      </c>
      <c r="G9"/>
      <c r="H9"/>
      <c r="I9"/>
      <c r="J9" s="12" t="s">
        <v>3</v>
      </c>
      <c r="K9" s="32" t="s">
        <v>580</v>
      </c>
      <c r="L9"/>
      <c r="M9"/>
      <c r="N9"/>
      <c r="O9"/>
      <c r="P9"/>
      <c r="Q9"/>
      <c r="R9" s="6" t="s">
        <v>30</v>
      </c>
      <c r="S9" s="6" t="s">
        <v>3</v>
      </c>
      <c r="T9" s="6" t="s">
        <v>85</v>
      </c>
      <c r="U9" s="6" t="s">
        <v>3</v>
      </c>
      <c r="V9" s="6" t="s">
        <v>3</v>
      </c>
      <c r="W9"/>
      <c r="X9" s="6" t="s">
        <v>3</v>
      </c>
      <c r="Y9"/>
      <c r="Z9" s="6" t="s">
        <v>3</v>
      </c>
      <c r="AA9"/>
      <c r="AB9" s="6" t="s">
        <v>3</v>
      </c>
      <c r="AC9" s="6" t="s">
        <v>3</v>
      </c>
      <c r="AD9" s="2" t="s">
        <v>3</v>
      </c>
      <c r="AE9" s="2" t="s">
        <v>862</v>
      </c>
    </row>
    <row r="10" spans="1:31" x14ac:dyDescent="0.25">
      <c r="A10" s="2" t="s">
        <v>172</v>
      </c>
      <c r="B10" s="6">
        <v>1</v>
      </c>
      <c r="C10" t="s">
        <v>1425</v>
      </c>
      <c r="D10"/>
      <c r="E10"/>
      <c r="F10" s="34" t="s">
        <v>602</v>
      </c>
      <c r="G10" s="12" t="s">
        <v>3</v>
      </c>
      <c r="H10" s="12" t="s">
        <v>603</v>
      </c>
      <c r="I10" s="12" t="s">
        <v>604</v>
      </c>
      <c r="J10" s="12" t="s">
        <v>3</v>
      </c>
      <c r="K10" s="32" t="s">
        <v>601</v>
      </c>
      <c r="L10"/>
      <c r="M10"/>
      <c r="N10"/>
      <c r="O10"/>
      <c r="P10"/>
      <c r="Q10"/>
      <c r="R10" s="6" t="s">
        <v>30</v>
      </c>
      <c r="S10" s="6" t="s">
        <v>3</v>
      </c>
      <c r="T10" s="6" t="s">
        <v>85</v>
      </c>
      <c r="U10" s="6" t="s">
        <v>3</v>
      </c>
      <c r="V10" s="6" t="s">
        <v>3</v>
      </c>
      <c r="W10"/>
      <c r="X10" s="6" t="s">
        <v>3</v>
      </c>
      <c r="Y10"/>
      <c r="Z10" s="6" t="s">
        <v>3</v>
      </c>
      <c r="AA10"/>
      <c r="AB10" s="6" t="s">
        <v>3</v>
      </c>
      <c r="AC10" s="6" t="s">
        <v>3</v>
      </c>
      <c r="AD10" s="2" t="s">
        <v>3</v>
      </c>
      <c r="AE10" s="2" t="s">
        <v>862</v>
      </c>
    </row>
    <row r="11" spans="1:31" x14ac:dyDescent="0.25">
      <c r="A11" s="2" t="s">
        <v>248</v>
      </c>
      <c r="B11" s="6">
        <v>1</v>
      </c>
      <c r="C11" t="s">
        <v>1426</v>
      </c>
      <c r="D11"/>
      <c r="E11"/>
      <c r="F11" s="6" t="s">
        <v>164</v>
      </c>
      <c r="G11"/>
      <c r="H11"/>
      <c r="I11"/>
      <c r="J11" s="12" t="s">
        <v>3</v>
      </c>
      <c r="K11" s="11" t="s">
        <v>29</v>
      </c>
      <c r="L11"/>
      <c r="M11"/>
      <c r="N11"/>
      <c r="O11"/>
      <c r="P11"/>
      <c r="Q11"/>
      <c r="R11" s="6" t="s">
        <v>30</v>
      </c>
      <c r="S11" s="6" t="s">
        <v>3</v>
      </c>
      <c r="T11" s="6" t="s">
        <v>85</v>
      </c>
      <c r="U11" s="6" t="s">
        <v>3</v>
      </c>
      <c r="V11" s="6" t="s">
        <v>3</v>
      </c>
      <c r="W11"/>
      <c r="X11" s="6" t="s">
        <v>3</v>
      </c>
      <c r="Y11"/>
      <c r="Z11" s="6" t="s">
        <v>3</v>
      </c>
      <c r="AA11"/>
      <c r="AB11" s="6" t="s">
        <v>3</v>
      </c>
      <c r="AC11" s="6" t="s">
        <v>3</v>
      </c>
      <c r="AD11" s="2" t="s">
        <v>3</v>
      </c>
      <c r="AE11" s="2" t="s">
        <v>862</v>
      </c>
    </row>
    <row r="12" spans="1:31" x14ac:dyDescent="0.25">
      <c r="A12" s="2" t="s">
        <v>249</v>
      </c>
      <c r="B12" s="6">
        <v>1</v>
      </c>
      <c r="C12" t="s">
        <v>1374</v>
      </c>
      <c r="D12"/>
      <c r="E12"/>
      <c r="F12" s="6" t="s">
        <v>164</v>
      </c>
      <c r="G12"/>
      <c r="H12"/>
      <c r="I12"/>
      <c r="J12" s="12" t="s">
        <v>3</v>
      </c>
      <c r="K12" s="11" t="s">
        <v>29</v>
      </c>
      <c r="L12"/>
      <c r="M12"/>
      <c r="N12"/>
      <c r="O12"/>
      <c r="P12"/>
      <c r="Q12"/>
      <c r="R12" s="6" t="s">
        <v>30</v>
      </c>
      <c r="S12" s="6" t="s">
        <v>3</v>
      </c>
      <c r="T12" s="6" t="s">
        <v>85</v>
      </c>
      <c r="U12" s="6" t="s">
        <v>3</v>
      </c>
      <c r="V12" s="6" t="s">
        <v>3</v>
      </c>
      <c r="W12"/>
      <c r="X12" s="6" t="s">
        <v>3</v>
      </c>
      <c r="Y12"/>
      <c r="Z12" s="6" t="s">
        <v>3</v>
      </c>
      <c r="AA12"/>
      <c r="AB12" s="6" t="s">
        <v>3</v>
      </c>
      <c r="AC12" s="6" t="s">
        <v>3</v>
      </c>
      <c r="AD12" s="2" t="s">
        <v>3</v>
      </c>
      <c r="AE12" s="2" t="s">
        <v>862</v>
      </c>
    </row>
    <row r="13" spans="1:31" x14ac:dyDescent="0.25">
      <c r="A13" s="2" t="s">
        <v>547</v>
      </c>
      <c r="B13" s="6">
        <v>1</v>
      </c>
      <c r="C13" t="s">
        <v>1427</v>
      </c>
      <c r="D13"/>
      <c r="E13"/>
      <c r="F13" s="6" t="s">
        <v>164</v>
      </c>
      <c r="G13"/>
      <c r="H13"/>
      <c r="I13"/>
      <c r="J13" s="12" t="s">
        <v>3</v>
      </c>
      <c r="K13" s="11" t="s">
        <v>29</v>
      </c>
      <c r="L13"/>
      <c r="M13"/>
      <c r="N13"/>
      <c r="O13"/>
      <c r="P13"/>
      <c r="Q13"/>
      <c r="R13" s="6" t="s">
        <v>30</v>
      </c>
      <c r="S13" s="6" t="s">
        <v>3</v>
      </c>
      <c r="T13" s="6" t="s">
        <v>85</v>
      </c>
      <c r="U13" s="6" t="s">
        <v>3</v>
      </c>
      <c r="V13" s="6" t="s">
        <v>3</v>
      </c>
      <c r="W13"/>
      <c r="X13" s="6" t="s">
        <v>3</v>
      </c>
      <c r="Y13"/>
      <c r="Z13" s="6" t="s">
        <v>3</v>
      </c>
      <c r="AA13"/>
      <c r="AB13" s="6" t="s">
        <v>3</v>
      </c>
      <c r="AC13" s="6" t="s">
        <v>3</v>
      </c>
      <c r="AD13" s="2" t="s">
        <v>3</v>
      </c>
      <c r="AE13" s="2" t="s">
        <v>862</v>
      </c>
    </row>
    <row r="14" spans="1:31" x14ac:dyDescent="0.25">
      <c r="A14" s="2" t="s">
        <v>188</v>
      </c>
      <c r="B14" s="6">
        <v>1</v>
      </c>
      <c r="C14" t="s">
        <v>1328</v>
      </c>
      <c r="D14"/>
      <c r="E14"/>
      <c r="F14" s="34" t="s">
        <v>650</v>
      </c>
      <c r="G14" s="12" t="s">
        <v>3</v>
      </c>
      <c r="H14" s="12" t="s">
        <v>651</v>
      </c>
      <c r="I14" s="12" t="s">
        <v>652</v>
      </c>
      <c r="J14" s="12" t="s">
        <v>3</v>
      </c>
      <c r="K14" s="32" t="s">
        <v>653</v>
      </c>
      <c r="L14"/>
      <c r="M14"/>
      <c r="N14"/>
      <c r="O14"/>
      <c r="P14"/>
      <c r="Q14"/>
      <c r="R14" s="6" t="s">
        <v>30</v>
      </c>
      <c r="S14" s="6" t="s">
        <v>3</v>
      </c>
      <c r="T14" s="6" t="s">
        <v>85</v>
      </c>
      <c r="U14" s="6" t="s">
        <v>3</v>
      </c>
      <c r="V14" s="6" t="s">
        <v>3</v>
      </c>
      <c r="W14"/>
      <c r="X14" s="6" t="s">
        <v>3</v>
      </c>
      <c r="Y14"/>
      <c r="Z14" s="6" t="s">
        <v>3</v>
      </c>
      <c r="AA14"/>
      <c r="AB14" s="6" t="s">
        <v>3</v>
      </c>
      <c r="AC14" s="6" t="s">
        <v>3</v>
      </c>
      <c r="AD14" s="2" t="s">
        <v>3</v>
      </c>
      <c r="AE14" s="2" t="s">
        <v>862</v>
      </c>
    </row>
    <row r="15" spans="1:31" x14ac:dyDescent="0.25">
      <c r="A15" s="2" t="s">
        <v>772</v>
      </c>
      <c r="B15" s="6">
        <v>1</v>
      </c>
      <c r="C15" t="s">
        <v>1378</v>
      </c>
      <c r="D15"/>
      <c r="E15"/>
      <c r="F15" s="34" t="s">
        <v>781</v>
      </c>
      <c r="G15" s="12" t="s">
        <v>3</v>
      </c>
      <c r="H15" s="12" t="s">
        <v>782</v>
      </c>
      <c r="I15" s="12" t="s">
        <v>783</v>
      </c>
      <c r="J15" s="12" t="s">
        <v>3</v>
      </c>
      <c r="K15" s="32" t="s">
        <v>784</v>
      </c>
      <c r="L15"/>
      <c r="M15"/>
      <c r="N15"/>
      <c r="O15"/>
      <c r="P15"/>
      <c r="Q15"/>
      <c r="R15" s="6" t="s">
        <v>785</v>
      </c>
      <c r="S15" s="6" t="s">
        <v>3</v>
      </c>
      <c r="T15" s="6" t="s">
        <v>786</v>
      </c>
      <c r="U15" s="6" t="s">
        <v>3</v>
      </c>
      <c r="V15" s="6" t="s">
        <v>3</v>
      </c>
      <c r="W15"/>
      <c r="X15" s="6" t="s">
        <v>3</v>
      </c>
      <c r="Y15"/>
      <c r="Z15" s="6" t="s">
        <v>3</v>
      </c>
      <c r="AA15"/>
      <c r="AB15" s="6" t="s">
        <v>3</v>
      </c>
      <c r="AC15" s="6" t="s">
        <v>3</v>
      </c>
      <c r="AD15" s="2" t="s">
        <v>3</v>
      </c>
      <c r="AE15" s="2" t="s">
        <v>862</v>
      </c>
    </row>
    <row r="16" spans="1:31" x14ac:dyDescent="0.25">
      <c r="A16" s="2" t="s">
        <v>773</v>
      </c>
      <c r="B16" s="6">
        <v>1</v>
      </c>
      <c r="C16" t="s">
        <v>1379</v>
      </c>
      <c r="D16"/>
      <c r="E16"/>
      <c r="F16" s="34" t="s">
        <v>781</v>
      </c>
      <c r="G16" s="12" t="s">
        <v>3</v>
      </c>
      <c r="H16" s="12" t="s">
        <v>782</v>
      </c>
      <c r="I16" s="12" t="s">
        <v>783</v>
      </c>
      <c r="J16" s="12" t="s">
        <v>3</v>
      </c>
      <c r="K16" s="32" t="s">
        <v>784</v>
      </c>
      <c r="L16"/>
      <c r="M16"/>
      <c r="N16"/>
      <c r="O16"/>
      <c r="P16"/>
      <c r="Q16"/>
      <c r="R16" s="6" t="s">
        <v>785</v>
      </c>
      <c r="S16" s="6" t="s">
        <v>3</v>
      </c>
      <c r="T16" s="6" t="s">
        <v>786</v>
      </c>
      <c r="U16" s="6" t="s">
        <v>3</v>
      </c>
      <c r="V16" s="6" t="s">
        <v>3</v>
      </c>
      <c r="W16"/>
      <c r="X16" s="6" t="s">
        <v>3</v>
      </c>
      <c r="Y16"/>
      <c r="Z16" s="6" t="s">
        <v>3</v>
      </c>
      <c r="AA16"/>
      <c r="AB16" s="6" t="s">
        <v>3</v>
      </c>
      <c r="AC16" s="6" t="s">
        <v>3</v>
      </c>
      <c r="AD16" s="2" t="s">
        <v>3</v>
      </c>
      <c r="AE16" s="2" t="s">
        <v>862</v>
      </c>
    </row>
    <row r="17" spans="1:31" s="79" customFormat="1" x14ac:dyDescent="0.25">
      <c r="A17" s="73" t="s">
        <v>912</v>
      </c>
      <c r="B17" s="74">
        <v>1</v>
      </c>
      <c r="C17" t="s">
        <v>2115</v>
      </c>
      <c r="D17"/>
      <c r="E17"/>
      <c r="F17" s="84" t="s">
        <v>315</v>
      </c>
      <c r="G17" s="73" t="s">
        <v>3</v>
      </c>
      <c r="H17" s="73" t="s">
        <v>931</v>
      </c>
      <c r="I17" s="73" t="s">
        <v>933</v>
      </c>
      <c r="J17" s="73" t="s">
        <v>3</v>
      </c>
      <c r="K17" s="85" t="s">
        <v>300</v>
      </c>
      <c r="O17" s="80"/>
      <c r="P17" s="80"/>
      <c r="Q17"/>
      <c r="R17" s="74" t="s">
        <v>30</v>
      </c>
      <c r="S17" s="74" t="s">
        <v>3</v>
      </c>
      <c r="T17" s="74" t="s">
        <v>85</v>
      </c>
      <c r="U17" s="74" t="s">
        <v>3</v>
      </c>
      <c r="V17" s="74" t="s">
        <v>3</v>
      </c>
      <c r="W17"/>
      <c r="X17" s="74" t="s">
        <v>3</v>
      </c>
      <c r="Y17"/>
      <c r="Z17" s="74" t="s">
        <v>3</v>
      </c>
      <c r="AA17"/>
      <c r="AB17" s="74" t="s">
        <v>3</v>
      </c>
      <c r="AC17" s="74" t="s">
        <v>3</v>
      </c>
      <c r="AD17" s="73" t="s">
        <v>3</v>
      </c>
      <c r="AE17" s="73" t="s">
        <v>862</v>
      </c>
    </row>
    <row r="18" spans="1:31" x14ac:dyDescent="0.25">
      <c r="A18" s="2" t="s">
        <v>913</v>
      </c>
      <c r="B18" s="6">
        <v>1</v>
      </c>
      <c r="C18" t="s">
        <v>2121</v>
      </c>
      <c r="D18"/>
      <c r="E18"/>
      <c r="F18" s="34" t="s">
        <v>781</v>
      </c>
      <c r="G18" s="12" t="s">
        <v>3</v>
      </c>
      <c r="H18" s="12" t="s">
        <v>782</v>
      </c>
      <c r="I18" s="12" t="s">
        <v>783</v>
      </c>
      <c r="J18" s="12" t="s">
        <v>3</v>
      </c>
      <c r="K18" s="32" t="s">
        <v>784</v>
      </c>
      <c r="L18"/>
      <c r="M18"/>
      <c r="N18"/>
      <c r="O18"/>
      <c r="P18"/>
      <c r="Q18"/>
      <c r="R18" s="6" t="s">
        <v>785</v>
      </c>
      <c r="S18" s="6" t="s">
        <v>3</v>
      </c>
      <c r="T18" s="6" t="s">
        <v>786</v>
      </c>
      <c r="U18" s="6" t="s">
        <v>3</v>
      </c>
      <c r="V18" s="6" t="s">
        <v>3</v>
      </c>
      <c r="W18"/>
      <c r="X18" s="6" t="s">
        <v>3</v>
      </c>
      <c r="Y18"/>
      <c r="Z18" s="6" t="s">
        <v>3</v>
      </c>
      <c r="AA18"/>
      <c r="AB18" s="6" t="s">
        <v>3</v>
      </c>
      <c r="AC18" s="6" t="s">
        <v>3</v>
      </c>
      <c r="AD18" s="2" t="s">
        <v>3</v>
      </c>
      <c r="AE18" s="2" t="s">
        <v>862</v>
      </c>
    </row>
    <row r="19" spans="1:31" x14ac:dyDescent="0.25">
      <c r="A19" s="2" t="s">
        <v>914</v>
      </c>
      <c r="B19" s="6">
        <v>1</v>
      </c>
      <c r="C19" t="s">
        <v>2096</v>
      </c>
      <c r="D19"/>
      <c r="E19"/>
      <c r="F19" s="34" t="s">
        <v>781</v>
      </c>
      <c r="G19" s="12" t="s">
        <v>3</v>
      </c>
      <c r="H19" s="12" t="s">
        <v>782</v>
      </c>
      <c r="I19" s="12" t="s">
        <v>783</v>
      </c>
      <c r="J19" s="12" t="s">
        <v>3</v>
      </c>
      <c r="K19" s="32" t="s">
        <v>784</v>
      </c>
      <c r="L19"/>
      <c r="M19"/>
      <c r="N19"/>
      <c r="O19"/>
      <c r="P19"/>
      <c r="Q19"/>
      <c r="R19" s="6" t="s">
        <v>785</v>
      </c>
      <c r="S19" s="6" t="s">
        <v>3</v>
      </c>
      <c r="T19" s="6" t="s">
        <v>786</v>
      </c>
      <c r="U19" s="6" t="s">
        <v>3</v>
      </c>
      <c r="V19" s="6" t="s">
        <v>3</v>
      </c>
      <c r="W19"/>
      <c r="X19" s="6" t="s">
        <v>3</v>
      </c>
      <c r="Y19"/>
      <c r="Z19" s="6" t="s">
        <v>3</v>
      </c>
      <c r="AA19"/>
      <c r="AB19" s="6" t="s">
        <v>3</v>
      </c>
      <c r="AC19" s="6" t="s">
        <v>3</v>
      </c>
      <c r="AD19" s="2" t="s">
        <v>3</v>
      </c>
      <c r="AE19" s="2" t="s">
        <v>862</v>
      </c>
    </row>
    <row r="20" spans="1:31" x14ac:dyDescent="0.25">
      <c r="A20" s="2" t="s">
        <v>872</v>
      </c>
      <c r="B20" s="6">
        <v>1</v>
      </c>
      <c r="C20" t="s">
        <v>2124</v>
      </c>
      <c r="D20"/>
      <c r="E20"/>
      <c r="F20" s="34" t="s">
        <v>781</v>
      </c>
      <c r="G20" s="12" t="s">
        <v>3</v>
      </c>
      <c r="H20" s="12" t="s">
        <v>782</v>
      </c>
      <c r="I20" s="12" t="s">
        <v>783</v>
      </c>
      <c r="J20" s="12" t="s">
        <v>3</v>
      </c>
      <c r="K20" s="32" t="s">
        <v>784</v>
      </c>
      <c r="L20"/>
      <c r="M20"/>
      <c r="N20"/>
      <c r="O20"/>
      <c r="P20"/>
      <c r="Q20"/>
      <c r="R20" s="6" t="s">
        <v>785</v>
      </c>
      <c r="S20" s="6" t="s">
        <v>3</v>
      </c>
      <c r="T20" s="6" t="s">
        <v>786</v>
      </c>
      <c r="U20" s="6" t="s">
        <v>3</v>
      </c>
      <c r="V20" s="6" t="s">
        <v>3</v>
      </c>
      <c r="W20"/>
      <c r="X20" s="6" t="s">
        <v>3</v>
      </c>
      <c r="Y20"/>
      <c r="Z20" s="6" t="s">
        <v>3</v>
      </c>
      <c r="AA20"/>
      <c r="AB20" s="6" t="s">
        <v>3</v>
      </c>
      <c r="AC20" s="6" t="s">
        <v>3</v>
      </c>
      <c r="AD20" s="2" t="s">
        <v>3</v>
      </c>
      <c r="AE20" s="2" t="s">
        <v>862</v>
      </c>
    </row>
    <row r="21" spans="1:31" x14ac:dyDescent="0.25">
      <c r="A21" s="2" t="s">
        <v>918</v>
      </c>
      <c r="B21" s="6">
        <v>1</v>
      </c>
      <c r="C21" t="s">
        <v>2099</v>
      </c>
      <c r="D21"/>
      <c r="E21"/>
      <c r="F21" s="34" t="s">
        <v>781</v>
      </c>
      <c r="G21" s="12" t="s">
        <v>3</v>
      </c>
      <c r="H21" s="12" t="s">
        <v>782</v>
      </c>
      <c r="I21" s="12" t="s">
        <v>783</v>
      </c>
      <c r="J21" s="12" t="s">
        <v>3</v>
      </c>
      <c r="K21" s="32" t="s">
        <v>784</v>
      </c>
      <c r="L21"/>
      <c r="M21"/>
      <c r="N21"/>
      <c r="O21"/>
      <c r="P21"/>
      <c r="Q21"/>
      <c r="R21" s="6" t="s">
        <v>785</v>
      </c>
      <c r="S21" s="6" t="s">
        <v>3</v>
      </c>
      <c r="T21" s="6" t="s">
        <v>786</v>
      </c>
      <c r="U21" s="6" t="s">
        <v>3</v>
      </c>
      <c r="V21" s="6" t="s">
        <v>3</v>
      </c>
      <c r="W21"/>
      <c r="X21" s="6" t="s">
        <v>3</v>
      </c>
      <c r="Y21"/>
      <c r="Z21" s="6" t="s">
        <v>3</v>
      </c>
      <c r="AA21"/>
      <c r="AB21" s="6" t="s">
        <v>3</v>
      </c>
      <c r="AC21" s="6" t="s">
        <v>3</v>
      </c>
      <c r="AD21" s="2" t="s">
        <v>3</v>
      </c>
      <c r="AE21" s="2" t="s">
        <v>862</v>
      </c>
    </row>
    <row r="22" spans="1:31" x14ac:dyDescent="0.25">
      <c r="A22" s="2" t="s">
        <v>919</v>
      </c>
      <c r="B22" s="6">
        <v>1</v>
      </c>
      <c r="C22" t="s">
        <v>2103</v>
      </c>
      <c r="D22"/>
      <c r="E22"/>
      <c r="F22" s="34" t="s">
        <v>781</v>
      </c>
      <c r="G22" s="12" t="s">
        <v>3</v>
      </c>
      <c r="H22" s="12" t="s">
        <v>782</v>
      </c>
      <c r="I22" s="12" t="s">
        <v>783</v>
      </c>
      <c r="J22" s="12" t="s">
        <v>3</v>
      </c>
      <c r="K22" s="32" t="s">
        <v>784</v>
      </c>
      <c r="L22"/>
      <c r="M22"/>
      <c r="N22"/>
      <c r="O22"/>
      <c r="P22"/>
      <c r="Q22"/>
      <c r="R22" s="6" t="s">
        <v>785</v>
      </c>
      <c r="S22" s="6" t="s">
        <v>3</v>
      </c>
      <c r="T22" s="6" t="s">
        <v>786</v>
      </c>
      <c r="U22" s="6" t="s">
        <v>3</v>
      </c>
      <c r="V22" s="6" t="s">
        <v>3</v>
      </c>
      <c r="W22"/>
      <c r="X22" s="6" t="s">
        <v>3</v>
      </c>
      <c r="Y22"/>
      <c r="Z22" s="6" t="s">
        <v>3</v>
      </c>
      <c r="AA22"/>
      <c r="AB22" s="6" t="s">
        <v>3</v>
      </c>
      <c r="AC22" s="6" t="s">
        <v>3</v>
      </c>
      <c r="AD22" s="2" t="s">
        <v>3</v>
      </c>
      <c r="AE22" s="2" t="s">
        <v>862</v>
      </c>
    </row>
    <row r="23" spans="1:31" x14ac:dyDescent="0.25">
      <c r="A23" s="2" t="s">
        <v>920</v>
      </c>
      <c r="B23" s="6">
        <v>1</v>
      </c>
      <c r="C23" t="s">
        <v>2046</v>
      </c>
      <c r="D23"/>
      <c r="E23"/>
      <c r="F23" s="34" t="s">
        <v>781</v>
      </c>
      <c r="G23" s="12" t="s">
        <v>3</v>
      </c>
      <c r="H23" s="12" t="s">
        <v>782</v>
      </c>
      <c r="I23" s="12" t="s">
        <v>783</v>
      </c>
      <c r="J23" s="12" t="s">
        <v>3</v>
      </c>
      <c r="K23" s="32" t="s">
        <v>784</v>
      </c>
      <c r="L23"/>
      <c r="M23"/>
      <c r="N23"/>
      <c r="O23"/>
      <c r="P23"/>
      <c r="Q23"/>
      <c r="R23" s="6" t="s">
        <v>785</v>
      </c>
      <c r="S23" s="6" t="s">
        <v>3</v>
      </c>
      <c r="T23" s="6" t="s">
        <v>786</v>
      </c>
      <c r="U23" s="6" t="s">
        <v>3</v>
      </c>
      <c r="V23" s="6" t="s">
        <v>3</v>
      </c>
      <c r="W23"/>
      <c r="X23" s="6" t="s">
        <v>3</v>
      </c>
      <c r="Y23"/>
      <c r="Z23" s="6" t="s">
        <v>3</v>
      </c>
      <c r="AA23"/>
      <c r="AB23" s="6" t="s">
        <v>3</v>
      </c>
      <c r="AC23" s="6" t="s">
        <v>3</v>
      </c>
      <c r="AD23" s="2" t="s">
        <v>3</v>
      </c>
      <c r="AE23" s="2" t="s">
        <v>862</v>
      </c>
    </row>
    <row r="24" spans="1:31" x14ac:dyDescent="0.25">
      <c r="A24" s="2" t="s">
        <v>921</v>
      </c>
      <c r="B24" s="6">
        <v>1</v>
      </c>
      <c r="C24" t="s">
        <v>2090</v>
      </c>
      <c r="D24"/>
      <c r="E24"/>
      <c r="F24" s="34" t="s">
        <v>781</v>
      </c>
      <c r="G24" s="12" t="s">
        <v>3</v>
      </c>
      <c r="H24" s="12" t="s">
        <v>782</v>
      </c>
      <c r="I24" s="12" t="s">
        <v>783</v>
      </c>
      <c r="J24" s="12" t="s">
        <v>3</v>
      </c>
      <c r="K24" s="32" t="s">
        <v>784</v>
      </c>
      <c r="L24"/>
      <c r="M24"/>
      <c r="N24"/>
      <c r="O24"/>
      <c r="P24"/>
      <c r="Q24"/>
      <c r="R24" s="6" t="s">
        <v>785</v>
      </c>
      <c r="S24" s="6" t="s">
        <v>3</v>
      </c>
      <c r="T24" s="6" t="s">
        <v>786</v>
      </c>
      <c r="U24" s="6" t="s">
        <v>3</v>
      </c>
      <c r="V24" s="6" t="s">
        <v>3</v>
      </c>
      <c r="W24"/>
      <c r="X24" s="6" t="s">
        <v>3</v>
      </c>
      <c r="Y24"/>
      <c r="Z24" s="6" t="s">
        <v>3</v>
      </c>
      <c r="AA24"/>
      <c r="AB24" s="6" t="s">
        <v>3</v>
      </c>
      <c r="AC24" s="6" t="s">
        <v>3</v>
      </c>
      <c r="AD24" s="2" t="s">
        <v>3</v>
      </c>
      <c r="AE24" s="2" t="s">
        <v>862</v>
      </c>
    </row>
    <row r="25" spans="1:31" x14ac:dyDescent="0.25">
      <c r="A25" s="2" t="s">
        <v>922</v>
      </c>
      <c r="B25" s="6">
        <v>1</v>
      </c>
      <c r="C25" t="s">
        <v>2106</v>
      </c>
      <c r="D25"/>
      <c r="E25"/>
      <c r="F25" s="34" t="s">
        <v>781</v>
      </c>
      <c r="G25" s="12" t="s">
        <v>3</v>
      </c>
      <c r="H25" s="12" t="s">
        <v>782</v>
      </c>
      <c r="I25" s="12" t="s">
        <v>783</v>
      </c>
      <c r="J25" s="12" t="s">
        <v>3</v>
      </c>
      <c r="K25" s="32" t="s">
        <v>784</v>
      </c>
      <c r="L25"/>
      <c r="M25"/>
      <c r="N25"/>
      <c r="O25"/>
      <c r="P25"/>
      <c r="Q25"/>
      <c r="R25" s="6" t="s">
        <v>785</v>
      </c>
      <c r="S25" s="6" t="s">
        <v>3</v>
      </c>
      <c r="T25" s="6" t="s">
        <v>786</v>
      </c>
      <c r="U25" s="6" t="s">
        <v>3</v>
      </c>
      <c r="V25" s="6" t="s">
        <v>3</v>
      </c>
      <c r="W25"/>
      <c r="X25" s="6" t="s">
        <v>3</v>
      </c>
      <c r="Y25"/>
      <c r="Z25" s="6" t="s">
        <v>3</v>
      </c>
      <c r="AA25"/>
      <c r="AB25" s="6" t="s">
        <v>3</v>
      </c>
      <c r="AC25" s="6" t="s">
        <v>3</v>
      </c>
      <c r="AD25" s="2" t="s">
        <v>3</v>
      </c>
      <c r="AE25" s="2" t="s">
        <v>862</v>
      </c>
    </row>
    <row r="26" spans="1:31" x14ac:dyDescent="0.25">
      <c r="A26" s="2" t="s">
        <v>1121</v>
      </c>
      <c r="B26" s="6">
        <v>1</v>
      </c>
      <c r="C26" t="s">
        <v>2111</v>
      </c>
      <c r="D26"/>
      <c r="E26"/>
      <c r="F26" s="34" t="s">
        <v>781</v>
      </c>
      <c r="G26" s="12" t="s">
        <v>3</v>
      </c>
      <c r="H26" s="12" t="s">
        <v>782</v>
      </c>
      <c r="I26" s="12" t="s">
        <v>783</v>
      </c>
      <c r="J26" s="12" t="s">
        <v>3</v>
      </c>
      <c r="K26" s="32" t="s">
        <v>784</v>
      </c>
      <c r="L26"/>
      <c r="M26"/>
      <c r="N26"/>
      <c r="O26"/>
      <c r="P26"/>
      <c r="Q26"/>
      <c r="R26" s="6" t="s">
        <v>785</v>
      </c>
      <c r="S26" s="6" t="s">
        <v>3</v>
      </c>
      <c r="T26" s="6" t="s">
        <v>786</v>
      </c>
      <c r="U26" s="6" t="s">
        <v>3</v>
      </c>
      <c r="V26" s="6" t="s">
        <v>3</v>
      </c>
      <c r="W26"/>
      <c r="X26" s="6" t="s">
        <v>3</v>
      </c>
      <c r="Y26"/>
      <c r="Z26" s="6" t="s">
        <v>3</v>
      </c>
      <c r="AA26"/>
      <c r="AB26" s="6" t="s">
        <v>3</v>
      </c>
      <c r="AC26" s="6" t="s">
        <v>3</v>
      </c>
      <c r="AD26" s="2" t="s">
        <v>3</v>
      </c>
      <c r="AE26" s="2" t="s">
        <v>862</v>
      </c>
    </row>
    <row r="27" spans="1:31" x14ac:dyDescent="0.25">
      <c r="A27" s="2" t="s">
        <v>1122</v>
      </c>
      <c r="B27" s="6">
        <v>1</v>
      </c>
      <c r="C27" t="s">
        <v>1972</v>
      </c>
      <c r="D27"/>
      <c r="E27"/>
      <c r="F27" s="34" t="s">
        <v>602</v>
      </c>
      <c r="G27" s="12" t="s">
        <v>3</v>
      </c>
      <c r="H27" s="12" t="s">
        <v>603</v>
      </c>
      <c r="I27" s="12" t="s">
        <v>604</v>
      </c>
      <c r="J27" s="12" t="s">
        <v>3</v>
      </c>
      <c r="K27" s="32" t="s">
        <v>601</v>
      </c>
      <c r="L27"/>
      <c r="M27"/>
      <c r="N27"/>
      <c r="O27"/>
      <c r="P27"/>
      <c r="Q27"/>
      <c r="R27" s="6" t="s">
        <v>30</v>
      </c>
      <c r="S27" s="6" t="s">
        <v>3</v>
      </c>
      <c r="T27" s="6" t="s">
        <v>85</v>
      </c>
      <c r="U27" s="6" t="s">
        <v>3</v>
      </c>
      <c r="V27" s="6" t="s">
        <v>3</v>
      </c>
      <c r="W27"/>
      <c r="X27" s="6" t="s">
        <v>3</v>
      </c>
      <c r="Y27"/>
      <c r="Z27" s="6" t="s">
        <v>3</v>
      </c>
      <c r="AA27"/>
      <c r="AB27" s="6" t="s">
        <v>3</v>
      </c>
      <c r="AC27" s="6" t="s">
        <v>3</v>
      </c>
      <c r="AD27" s="2" t="s">
        <v>3</v>
      </c>
      <c r="AE27" s="2" t="s">
        <v>862</v>
      </c>
    </row>
    <row r="28" spans="1:31" x14ac:dyDescent="0.25">
      <c r="A28" s="2" t="s">
        <v>1123</v>
      </c>
      <c r="B28" s="6">
        <v>1</v>
      </c>
      <c r="C28" t="s">
        <v>1992</v>
      </c>
      <c r="D28"/>
      <c r="E28"/>
      <c r="F28" s="34" t="s">
        <v>602</v>
      </c>
      <c r="G28" s="12" t="s">
        <v>3</v>
      </c>
      <c r="H28" s="12" t="s">
        <v>603</v>
      </c>
      <c r="I28" s="12" t="s">
        <v>604</v>
      </c>
      <c r="J28" s="12" t="s">
        <v>3</v>
      </c>
      <c r="K28" s="32" t="s">
        <v>601</v>
      </c>
      <c r="L28"/>
      <c r="M28"/>
      <c r="N28"/>
      <c r="O28"/>
      <c r="P28"/>
      <c r="Q28"/>
      <c r="R28" s="6" t="s">
        <v>30</v>
      </c>
      <c r="S28" s="6" t="s">
        <v>3</v>
      </c>
      <c r="T28" s="6" t="s">
        <v>85</v>
      </c>
      <c r="U28" s="6" t="s">
        <v>3</v>
      </c>
      <c r="V28" s="6" t="s">
        <v>3</v>
      </c>
      <c r="W28"/>
      <c r="X28" s="6" t="s">
        <v>3</v>
      </c>
      <c r="Y28"/>
      <c r="Z28" s="6" t="s">
        <v>3</v>
      </c>
      <c r="AA28"/>
      <c r="AB28" s="6" t="s">
        <v>3</v>
      </c>
      <c r="AC28" s="6" t="s">
        <v>3</v>
      </c>
      <c r="AD28" s="2" t="s">
        <v>3</v>
      </c>
      <c r="AE28" s="2" t="s">
        <v>862</v>
      </c>
    </row>
    <row r="29" spans="1:31" x14ac:dyDescent="0.25">
      <c r="A29" s="2" t="s">
        <v>1157</v>
      </c>
      <c r="B29" s="6">
        <v>1</v>
      </c>
      <c r="C29" t="s">
        <v>1998</v>
      </c>
      <c r="D29"/>
      <c r="E29"/>
      <c r="F29" s="34" t="s">
        <v>602</v>
      </c>
      <c r="G29" s="12" t="s">
        <v>3</v>
      </c>
      <c r="H29" s="12" t="s">
        <v>603</v>
      </c>
      <c r="I29" s="12" t="s">
        <v>604</v>
      </c>
      <c r="J29" s="12" t="s">
        <v>3</v>
      </c>
      <c r="K29" s="32" t="s">
        <v>601</v>
      </c>
      <c r="L29"/>
      <c r="M29"/>
      <c r="N29"/>
      <c r="O29"/>
      <c r="P29"/>
      <c r="Q29"/>
      <c r="R29" s="6" t="s">
        <v>30</v>
      </c>
      <c r="S29" s="6" t="s">
        <v>3</v>
      </c>
      <c r="T29" s="6" t="s">
        <v>85</v>
      </c>
      <c r="U29" s="6" t="s">
        <v>3</v>
      </c>
      <c r="V29" s="6" t="s">
        <v>3</v>
      </c>
      <c r="W29"/>
      <c r="X29" s="6" t="s">
        <v>3</v>
      </c>
      <c r="Y29"/>
      <c r="Z29" s="6" t="s">
        <v>3</v>
      </c>
      <c r="AA29"/>
      <c r="AB29" s="6" t="s">
        <v>3</v>
      </c>
      <c r="AC29" s="6" t="s">
        <v>3</v>
      </c>
      <c r="AD29" s="2" t="s">
        <v>3</v>
      </c>
      <c r="AE29" s="2" t="s">
        <v>862</v>
      </c>
    </row>
    <row r="30" spans="1:31" x14ac:dyDescent="0.25">
      <c r="A30" s="2" t="s">
        <v>1163</v>
      </c>
      <c r="B30" s="6">
        <v>1</v>
      </c>
      <c r="C30" t="s">
        <v>2007</v>
      </c>
      <c r="D30"/>
      <c r="E30"/>
      <c r="F30" s="34" t="s">
        <v>602</v>
      </c>
      <c r="G30" s="12" t="s">
        <v>3</v>
      </c>
      <c r="H30" s="12" t="s">
        <v>603</v>
      </c>
      <c r="I30" s="12" t="s">
        <v>604</v>
      </c>
      <c r="J30" s="12" t="s">
        <v>3</v>
      </c>
      <c r="K30" s="32" t="s">
        <v>601</v>
      </c>
      <c r="L30"/>
      <c r="M30"/>
      <c r="N30"/>
      <c r="O30"/>
      <c r="P30"/>
      <c r="Q30"/>
      <c r="R30" s="6" t="s">
        <v>30</v>
      </c>
      <c r="S30" s="6" t="s">
        <v>3</v>
      </c>
      <c r="T30" s="6" t="s">
        <v>85</v>
      </c>
      <c r="U30" s="6" t="s">
        <v>3</v>
      </c>
      <c r="V30" s="6" t="s">
        <v>3</v>
      </c>
      <c r="W30"/>
      <c r="X30" s="6" t="s">
        <v>3</v>
      </c>
      <c r="Y30"/>
      <c r="Z30" s="6" t="s">
        <v>3</v>
      </c>
      <c r="AA30"/>
      <c r="AB30" s="6" t="s">
        <v>3</v>
      </c>
      <c r="AC30" s="6" t="s">
        <v>3</v>
      </c>
      <c r="AD30" s="2" t="s">
        <v>3</v>
      </c>
      <c r="AE30" s="2" t="s">
        <v>862</v>
      </c>
    </row>
    <row r="31" spans="1:31" x14ac:dyDescent="0.25">
      <c r="A31" s="2" t="s">
        <v>1164</v>
      </c>
      <c r="B31" s="6">
        <v>1</v>
      </c>
      <c r="C31" t="s">
        <v>2010</v>
      </c>
      <c r="D31"/>
      <c r="E31"/>
      <c r="F31" s="34" t="s">
        <v>781</v>
      </c>
      <c r="G31" s="12" t="s">
        <v>3</v>
      </c>
      <c r="H31" s="12" t="s">
        <v>782</v>
      </c>
      <c r="I31" s="12" t="s">
        <v>783</v>
      </c>
      <c r="J31" s="12" t="s">
        <v>3</v>
      </c>
      <c r="K31" s="32" t="s">
        <v>784</v>
      </c>
      <c r="L31"/>
      <c r="M31"/>
      <c r="N31"/>
      <c r="O31"/>
      <c r="P31"/>
      <c r="Q31"/>
      <c r="R31" s="6" t="s">
        <v>785</v>
      </c>
      <c r="S31" s="6" t="s">
        <v>3</v>
      </c>
      <c r="T31" s="6" t="s">
        <v>786</v>
      </c>
      <c r="U31" s="6" t="s">
        <v>3</v>
      </c>
      <c r="V31" s="6" t="s">
        <v>3</v>
      </c>
      <c r="W31"/>
      <c r="X31" s="6" t="s">
        <v>3</v>
      </c>
      <c r="Y31"/>
      <c r="Z31" s="6" t="s">
        <v>3</v>
      </c>
      <c r="AA31"/>
      <c r="AB31" s="6" t="s">
        <v>3</v>
      </c>
      <c r="AC31" s="6" t="s">
        <v>3</v>
      </c>
      <c r="AD31" s="2" t="s">
        <v>3</v>
      </c>
      <c r="AE31" s="2" t="s">
        <v>862</v>
      </c>
    </row>
    <row r="32" spans="1:31" x14ac:dyDescent="0.25">
      <c r="A32" s="2" t="s">
        <v>1165</v>
      </c>
      <c r="B32" s="6">
        <v>1</v>
      </c>
      <c r="C32" t="s">
        <v>1432</v>
      </c>
      <c r="D32"/>
      <c r="E32"/>
      <c r="F32" s="34" t="s">
        <v>781</v>
      </c>
      <c r="G32" s="12" t="s">
        <v>3</v>
      </c>
      <c r="H32" s="12" t="s">
        <v>782</v>
      </c>
      <c r="I32" s="12" t="s">
        <v>783</v>
      </c>
      <c r="J32" s="12" t="s">
        <v>3</v>
      </c>
      <c r="K32" s="32" t="s">
        <v>784</v>
      </c>
      <c r="L32"/>
      <c r="M32"/>
      <c r="N32"/>
      <c r="O32"/>
      <c r="P32"/>
      <c r="Q32"/>
      <c r="R32" s="6" t="s">
        <v>785</v>
      </c>
      <c r="S32" s="6" t="s">
        <v>3</v>
      </c>
      <c r="T32" s="6" t="s">
        <v>786</v>
      </c>
      <c r="U32" s="6" t="s">
        <v>3</v>
      </c>
      <c r="V32" s="6" t="s">
        <v>3</v>
      </c>
      <c r="W32"/>
      <c r="X32" s="6" t="s">
        <v>3</v>
      </c>
      <c r="Y32"/>
      <c r="Z32" s="6" t="s">
        <v>3</v>
      </c>
      <c r="AA32"/>
      <c r="AB32" s="6" t="s">
        <v>3</v>
      </c>
      <c r="AC32" s="6" t="s">
        <v>3</v>
      </c>
      <c r="AD32" s="2" t="s">
        <v>3</v>
      </c>
      <c r="AE32" s="2" t="s">
        <v>862</v>
      </c>
    </row>
    <row r="33" spans="1:31" x14ac:dyDescent="0.25">
      <c r="A33" s="2" t="s">
        <v>1166</v>
      </c>
      <c r="B33" s="6">
        <v>1</v>
      </c>
      <c r="C33" t="s">
        <v>1450</v>
      </c>
      <c r="D33"/>
      <c r="E33"/>
      <c r="F33" s="34" t="s">
        <v>781</v>
      </c>
      <c r="G33" s="12" t="s">
        <v>3</v>
      </c>
      <c r="H33" s="12" t="s">
        <v>782</v>
      </c>
      <c r="I33" s="12" t="s">
        <v>783</v>
      </c>
      <c r="J33" s="12" t="s">
        <v>3</v>
      </c>
      <c r="K33" s="32" t="s">
        <v>784</v>
      </c>
      <c r="L33"/>
      <c r="M33"/>
      <c r="N33"/>
      <c r="O33"/>
      <c r="P33"/>
      <c r="Q33"/>
      <c r="R33" s="6" t="s">
        <v>785</v>
      </c>
      <c r="S33" s="6" t="s">
        <v>3</v>
      </c>
      <c r="T33" s="6" t="s">
        <v>786</v>
      </c>
      <c r="U33" s="6" t="s">
        <v>3</v>
      </c>
      <c r="V33" s="6" t="s">
        <v>3</v>
      </c>
      <c r="W33"/>
      <c r="X33" s="6" t="s">
        <v>3</v>
      </c>
      <c r="Y33"/>
      <c r="Z33" s="6" t="s">
        <v>3</v>
      </c>
      <c r="AA33"/>
      <c r="AB33" s="6" t="s">
        <v>3</v>
      </c>
      <c r="AC33" s="6" t="s">
        <v>3</v>
      </c>
      <c r="AD33" s="2" t="s">
        <v>3</v>
      </c>
      <c r="AE33" s="2" t="s">
        <v>862</v>
      </c>
    </row>
    <row r="34" spans="1:31" x14ac:dyDescent="0.25">
      <c r="A34" s="2" t="s">
        <v>1167</v>
      </c>
      <c r="B34" s="6">
        <v>1</v>
      </c>
      <c r="C34" t="s">
        <v>1506</v>
      </c>
      <c r="D34"/>
      <c r="E34"/>
      <c r="F34" s="34" t="s">
        <v>781</v>
      </c>
      <c r="G34" s="12" t="s">
        <v>3</v>
      </c>
      <c r="H34" s="12" t="s">
        <v>782</v>
      </c>
      <c r="I34" s="12" t="s">
        <v>783</v>
      </c>
      <c r="J34" s="12" t="s">
        <v>3</v>
      </c>
      <c r="K34" s="32" t="s">
        <v>784</v>
      </c>
      <c r="L34"/>
      <c r="M34"/>
      <c r="N34"/>
      <c r="O34"/>
      <c r="P34"/>
      <c r="Q34"/>
      <c r="R34" s="6" t="s">
        <v>785</v>
      </c>
      <c r="S34" s="6" t="s">
        <v>3</v>
      </c>
      <c r="T34" s="6" t="s">
        <v>786</v>
      </c>
      <c r="U34" s="6" t="s">
        <v>3</v>
      </c>
      <c r="V34" s="6" t="s">
        <v>3</v>
      </c>
      <c r="W34"/>
      <c r="X34" s="6" t="s">
        <v>3</v>
      </c>
      <c r="Y34"/>
      <c r="Z34" s="6" t="s">
        <v>3</v>
      </c>
      <c r="AA34"/>
      <c r="AB34" s="6" t="s">
        <v>3</v>
      </c>
      <c r="AC34" s="6" t="s">
        <v>3</v>
      </c>
      <c r="AD34" s="2" t="s">
        <v>3</v>
      </c>
      <c r="AE34" s="2" t="s">
        <v>862</v>
      </c>
    </row>
    <row r="35" spans="1:31" x14ac:dyDescent="0.25">
      <c r="A35" s="2" t="s">
        <v>1168</v>
      </c>
      <c r="B35" s="6">
        <v>1</v>
      </c>
      <c r="C35" t="s">
        <v>1517</v>
      </c>
      <c r="D35"/>
      <c r="E35"/>
      <c r="F35" s="34" t="s">
        <v>781</v>
      </c>
      <c r="G35" s="12" t="s">
        <v>3</v>
      </c>
      <c r="H35" s="12" t="s">
        <v>782</v>
      </c>
      <c r="I35" s="12" t="s">
        <v>783</v>
      </c>
      <c r="J35" s="12" t="s">
        <v>3</v>
      </c>
      <c r="K35" s="32" t="s">
        <v>784</v>
      </c>
      <c r="L35"/>
      <c r="M35"/>
      <c r="N35"/>
      <c r="O35"/>
      <c r="P35"/>
      <c r="Q35"/>
      <c r="R35" s="6" t="s">
        <v>785</v>
      </c>
      <c r="S35" s="6" t="s">
        <v>3</v>
      </c>
      <c r="T35" s="6" t="s">
        <v>786</v>
      </c>
      <c r="U35" s="6" t="s">
        <v>3</v>
      </c>
      <c r="V35" s="6" t="s">
        <v>3</v>
      </c>
      <c r="W35"/>
      <c r="X35" s="6" t="s">
        <v>3</v>
      </c>
      <c r="Y35"/>
      <c r="Z35" s="6" t="s">
        <v>3</v>
      </c>
      <c r="AA35"/>
      <c r="AB35" s="6" t="s">
        <v>3</v>
      </c>
      <c r="AC35" s="6" t="s">
        <v>3</v>
      </c>
      <c r="AD35" s="2" t="s">
        <v>3</v>
      </c>
      <c r="AE35" s="2" t="s">
        <v>862</v>
      </c>
    </row>
    <row r="36" spans="1:31" x14ac:dyDescent="0.25">
      <c r="A36" s="2" t="s">
        <v>1169</v>
      </c>
      <c r="B36" s="6">
        <v>1</v>
      </c>
      <c r="C36" t="s">
        <v>1570</v>
      </c>
      <c r="D36"/>
      <c r="E36"/>
      <c r="F36" s="34" t="s">
        <v>781</v>
      </c>
      <c r="G36" s="12" t="s">
        <v>3</v>
      </c>
      <c r="H36" s="12" t="s">
        <v>782</v>
      </c>
      <c r="I36" s="12" t="s">
        <v>783</v>
      </c>
      <c r="J36" s="12" t="s">
        <v>3</v>
      </c>
      <c r="K36" s="32" t="s">
        <v>784</v>
      </c>
      <c r="L36"/>
      <c r="M36"/>
      <c r="N36"/>
      <c r="O36"/>
      <c r="P36"/>
      <c r="Q36"/>
      <c r="R36" s="6" t="s">
        <v>785</v>
      </c>
      <c r="S36" s="6" t="s">
        <v>3</v>
      </c>
      <c r="T36" s="6" t="s">
        <v>786</v>
      </c>
      <c r="U36" s="6" t="s">
        <v>3</v>
      </c>
      <c r="V36" s="6" t="s">
        <v>3</v>
      </c>
      <c r="W36"/>
      <c r="X36" s="6" t="s">
        <v>3</v>
      </c>
      <c r="Y36"/>
      <c r="Z36" s="6" t="s">
        <v>3</v>
      </c>
      <c r="AA36"/>
      <c r="AB36" s="6" t="s">
        <v>3</v>
      </c>
      <c r="AC36" s="6" t="s">
        <v>3</v>
      </c>
      <c r="AD36" s="2" t="s">
        <v>3</v>
      </c>
      <c r="AE36" s="2" t="s">
        <v>862</v>
      </c>
    </row>
    <row r="37" spans="1:31" x14ac:dyDescent="0.25">
      <c r="A37" s="2" t="s">
        <v>1170</v>
      </c>
      <c r="B37" s="6">
        <v>1</v>
      </c>
      <c r="C37" t="s">
        <v>1705</v>
      </c>
      <c r="D37"/>
      <c r="E37"/>
      <c r="F37" s="34" t="s">
        <v>781</v>
      </c>
      <c r="G37" s="12" t="s">
        <v>3</v>
      </c>
      <c r="H37" s="12" t="s">
        <v>782</v>
      </c>
      <c r="I37" s="12" t="s">
        <v>783</v>
      </c>
      <c r="J37" s="12" t="s">
        <v>3</v>
      </c>
      <c r="K37" s="32" t="s">
        <v>784</v>
      </c>
      <c r="L37"/>
      <c r="M37"/>
      <c r="N37"/>
      <c r="O37"/>
      <c r="P37"/>
      <c r="Q37"/>
      <c r="R37" s="6" t="s">
        <v>785</v>
      </c>
      <c r="S37" s="6" t="s">
        <v>3</v>
      </c>
      <c r="T37" s="6" t="s">
        <v>786</v>
      </c>
      <c r="U37" s="6" t="s">
        <v>3</v>
      </c>
      <c r="V37" s="6" t="s">
        <v>3</v>
      </c>
      <c r="W37"/>
      <c r="X37" s="6" t="s">
        <v>3</v>
      </c>
      <c r="Y37"/>
      <c r="Z37" s="6" t="s">
        <v>3</v>
      </c>
      <c r="AA37"/>
      <c r="AB37" s="6" t="s">
        <v>3</v>
      </c>
      <c r="AC37" s="6" t="s">
        <v>3</v>
      </c>
      <c r="AD37" s="2" t="s">
        <v>3</v>
      </c>
      <c r="AE37" s="2" t="s">
        <v>862</v>
      </c>
    </row>
    <row r="38" spans="1:31" x14ac:dyDescent="0.25">
      <c r="A38" s="2" t="s">
        <v>1171</v>
      </c>
      <c r="B38" s="6">
        <v>1</v>
      </c>
      <c r="C38" t="s">
        <v>1721</v>
      </c>
      <c r="D38"/>
      <c r="E38"/>
      <c r="F38" s="34" t="s">
        <v>781</v>
      </c>
      <c r="G38" s="12" t="s">
        <v>3</v>
      </c>
      <c r="H38" s="12" t="s">
        <v>782</v>
      </c>
      <c r="I38" s="12" t="s">
        <v>783</v>
      </c>
      <c r="J38" s="12" t="s">
        <v>3</v>
      </c>
      <c r="K38" s="32" t="s">
        <v>784</v>
      </c>
      <c r="L38"/>
      <c r="M38"/>
      <c r="N38"/>
      <c r="O38"/>
      <c r="P38"/>
      <c r="Q38"/>
      <c r="R38" s="6" t="s">
        <v>785</v>
      </c>
      <c r="S38" s="6" t="s">
        <v>3</v>
      </c>
      <c r="T38" s="6" t="s">
        <v>786</v>
      </c>
      <c r="U38" s="6" t="s">
        <v>3</v>
      </c>
      <c r="V38" s="6" t="s">
        <v>3</v>
      </c>
      <c r="W38"/>
      <c r="X38" s="6" t="s">
        <v>3</v>
      </c>
      <c r="Y38"/>
      <c r="Z38" s="6" t="s">
        <v>3</v>
      </c>
      <c r="AA38"/>
      <c r="AB38" s="6" t="s">
        <v>3</v>
      </c>
      <c r="AC38" s="6" t="s">
        <v>3</v>
      </c>
      <c r="AD38" s="2" t="s">
        <v>3</v>
      </c>
      <c r="AE38" s="2" t="s">
        <v>862</v>
      </c>
    </row>
    <row r="39" spans="1:31" x14ac:dyDescent="0.25">
      <c r="A39" s="2" t="s">
        <v>1172</v>
      </c>
      <c r="B39" s="6">
        <v>1</v>
      </c>
      <c r="C39" t="s">
        <v>1736</v>
      </c>
      <c r="D39"/>
      <c r="E39"/>
      <c r="F39" s="34" t="s">
        <v>781</v>
      </c>
      <c r="G39" s="12" t="s">
        <v>3</v>
      </c>
      <c r="H39" s="12" t="s">
        <v>782</v>
      </c>
      <c r="I39" s="12" t="s">
        <v>783</v>
      </c>
      <c r="J39" s="12" t="s">
        <v>3</v>
      </c>
      <c r="K39" s="32" t="s">
        <v>784</v>
      </c>
      <c r="L39"/>
      <c r="M39"/>
      <c r="N39"/>
      <c r="O39"/>
      <c r="P39"/>
      <c r="Q39"/>
      <c r="R39" s="6" t="s">
        <v>785</v>
      </c>
      <c r="S39" s="6" t="s">
        <v>3</v>
      </c>
      <c r="T39" s="6" t="s">
        <v>786</v>
      </c>
      <c r="U39" s="6" t="s">
        <v>3</v>
      </c>
      <c r="V39" s="6" t="s">
        <v>3</v>
      </c>
      <c r="W39"/>
      <c r="X39" s="6" t="s">
        <v>3</v>
      </c>
      <c r="Y39"/>
      <c r="Z39" s="6" t="s">
        <v>3</v>
      </c>
      <c r="AA39"/>
      <c r="AB39" s="6" t="s">
        <v>3</v>
      </c>
      <c r="AC39" s="6" t="s">
        <v>3</v>
      </c>
      <c r="AD39" s="2" t="s">
        <v>3</v>
      </c>
      <c r="AE39" s="2" t="s">
        <v>862</v>
      </c>
    </row>
    <row r="40" spans="1:31" x14ac:dyDescent="0.25">
      <c r="A40" s="2" t="s">
        <v>1173</v>
      </c>
      <c r="B40" s="6">
        <v>1</v>
      </c>
      <c r="C40" t="s">
        <v>1736</v>
      </c>
      <c r="D40"/>
      <c r="E40"/>
      <c r="F40" s="34" t="s">
        <v>781</v>
      </c>
      <c r="G40" s="12" t="s">
        <v>3</v>
      </c>
      <c r="H40" s="12" t="s">
        <v>782</v>
      </c>
      <c r="I40" s="12" t="s">
        <v>783</v>
      </c>
      <c r="J40" s="12" t="s">
        <v>3</v>
      </c>
      <c r="K40" s="32" t="s">
        <v>784</v>
      </c>
      <c r="L40"/>
      <c r="M40"/>
      <c r="N40"/>
      <c r="O40"/>
      <c r="P40"/>
      <c r="Q40"/>
      <c r="R40" s="6" t="s">
        <v>785</v>
      </c>
      <c r="S40" s="6" t="s">
        <v>3</v>
      </c>
      <c r="T40" s="6" t="s">
        <v>786</v>
      </c>
      <c r="U40" s="6" t="s">
        <v>3</v>
      </c>
      <c r="V40" s="6" t="s">
        <v>3</v>
      </c>
      <c r="W40"/>
      <c r="X40" s="6" t="s">
        <v>3</v>
      </c>
      <c r="Y40"/>
      <c r="Z40" s="6" t="s">
        <v>3</v>
      </c>
      <c r="AA40"/>
      <c r="AB40" s="6" t="s">
        <v>3</v>
      </c>
      <c r="AC40" s="6" t="s">
        <v>3</v>
      </c>
      <c r="AD40" s="2" t="s">
        <v>3</v>
      </c>
      <c r="AE40" s="2" t="s">
        <v>862</v>
      </c>
    </row>
    <row r="41" spans="1:31" x14ac:dyDescent="0.25">
      <c r="A41" s="2" t="s">
        <v>1227</v>
      </c>
      <c r="B41" s="6">
        <v>1</v>
      </c>
      <c r="C41" t="s">
        <v>1765</v>
      </c>
      <c r="D41"/>
      <c r="E41"/>
      <c r="F41" s="34" t="s">
        <v>781</v>
      </c>
      <c r="G41" s="12" t="s">
        <v>3</v>
      </c>
      <c r="H41" s="12" t="s">
        <v>782</v>
      </c>
      <c r="I41" s="12" t="s">
        <v>783</v>
      </c>
      <c r="J41" s="12" t="s">
        <v>3</v>
      </c>
      <c r="K41" s="32" t="s">
        <v>784</v>
      </c>
      <c r="L41"/>
      <c r="M41"/>
      <c r="N41"/>
      <c r="O41"/>
      <c r="P41"/>
      <c r="Q41"/>
      <c r="R41" s="6" t="s">
        <v>785</v>
      </c>
      <c r="S41" s="6" t="s">
        <v>3</v>
      </c>
      <c r="T41" s="6" t="s">
        <v>786</v>
      </c>
      <c r="U41" s="6" t="s">
        <v>3</v>
      </c>
      <c r="V41" s="6" t="s">
        <v>3</v>
      </c>
      <c r="W41"/>
      <c r="X41" s="6" t="s">
        <v>3</v>
      </c>
      <c r="Y41"/>
      <c r="Z41" s="6" t="s">
        <v>3</v>
      </c>
      <c r="AA41"/>
      <c r="AB41" s="6" t="s">
        <v>3</v>
      </c>
      <c r="AC41" s="6" t="s">
        <v>3</v>
      </c>
      <c r="AD41" s="2" t="s">
        <v>3</v>
      </c>
      <c r="AE41" s="2" t="s">
        <v>862</v>
      </c>
    </row>
    <row r="42" spans="1:31" x14ac:dyDescent="0.25">
      <c r="A42" s="2" t="s">
        <v>1228</v>
      </c>
      <c r="B42" s="6">
        <v>1</v>
      </c>
      <c r="C42" t="s">
        <v>1768</v>
      </c>
      <c r="D42"/>
      <c r="E42"/>
      <c r="F42" s="34" t="s">
        <v>781</v>
      </c>
      <c r="G42" s="12" t="s">
        <v>3</v>
      </c>
      <c r="H42" s="12" t="s">
        <v>782</v>
      </c>
      <c r="I42" s="12" t="s">
        <v>783</v>
      </c>
      <c r="J42" s="12" t="s">
        <v>3</v>
      </c>
      <c r="K42" s="32" t="s">
        <v>784</v>
      </c>
      <c r="L42"/>
      <c r="M42"/>
      <c r="N42"/>
      <c r="O42"/>
      <c r="P42"/>
      <c r="Q42"/>
      <c r="R42" s="6" t="s">
        <v>785</v>
      </c>
      <c r="S42" s="6" t="s">
        <v>3</v>
      </c>
      <c r="T42" s="6" t="s">
        <v>786</v>
      </c>
      <c r="U42" s="6" t="s">
        <v>3</v>
      </c>
      <c r="V42" s="6" t="s">
        <v>3</v>
      </c>
      <c r="W42"/>
      <c r="X42" s="6" t="s">
        <v>3</v>
      </c>
      <c r="Y42"/>
      <c r="Z42" s="6" t="s">
        <v>3</v>
      </c>
      <c r="AA42"/>
      <c r="AB42" s="6" t="s">
        <v>3</v>
      </c>
      <c r="AC42" s="6" t="s">
        <v>3</v>
      </c>
      <c r="AD42" s="2" t="s">
        <v>3</v>
      </c>
      <c r="AE42" s="2" t="s">
        <v>862</v>
      </c>
    </row>
    <row r="43" spans="1:31" x14ac:dyDescent="0.25">
      <c r="A43" s="2" t="s">
        <v>1229</v>
      </c>
      <c r="B43" s="6">
        <v>1</v>
      </c>
      <c r="C43" t="s">
        <v>1779</v>
      </c>
      <c r="D43"/>
      <c r="E43"/>
      <c r="F43" s="34" t="s">
        <v>602</v>
      </c>
      <c r="G43" s="12" t="s">
        <v>3</v>
      </c>
      <c r="H43" s="12" t="s">
        <v>603</v>
      </c>
      <c r="I43" s="12" t="s">
        <v>604</v>
      </c>
      <c r="J43" s="12" t="s">
        <v>3</v>
      </c>
      <c r="K43" s="32" t="s">
        <v>601</v>
      </c>
      <c r="L43"/>
      <c r="M43"/>
      <c r="N43"/>
      <c r="O43"/>
      <c r="P43"/>
      <c r="Q43"/>
      <c r="R43" s="6" t="s">
        <v>30</v>
      </c>
      <c r="S43" s="6" t="s">
        <v>3</v>
      </c>
      <c r="T43" s="6" t="s">
        <v>85</v>
      </c>
      <c r="U43" s="6" t="s">
        <v>3</v>
      </c>
      <c r="V43" s="6" t="s">
        <v>3</v>
      </c>
      <c r="W43"/>
      <c r="X43" s="6" t="s">
        <v>3</v>
      </c>
      <c r="Y43"/>
      <c r="Z43" s="6" t="s">
        <v>3</v>
      </c>
      <c r="AA43"/>
      <c r="AB43" s="6" t="s">
        <v>3</v>
      </c>
      <c r="AC43" s="6" t="s">
        <v>3</v>
      </c>
      <c r="AD43" s="2" t="s">
        <v>3</v>
      </c>
      <c r="AE43" s="2" t="s">
        <v>862</v>
      </c>
    </row>
    <row r="44" spans="1:31" x14ac:dyDescent="0.25">
      <c r="A44" s="2" t="s">
        <v>1230</v>
      </c>
      <c r="B44" s="6">
        <v>1</v>
      </c>
      <c r="C44" t="s">
        <v>1959</v>
      </c>
      <c r="D44"/>
      <c r="E44"/>
      <c r="F44" s="34" t="s">
        <v>602</v>
      </c>
      <c r="G44" s="12" t="s">
        <v>3</v>
      </c>
      <c r="H44" s="12" t="s">
        <v>603</v>
      </c>
      <c r="I44" s="12" t="s">
        <v>604</v>
      </c>
      <c r="J44" s="12" t="s">
        <v>3</v>
      </c>
      <c r="K44" s="32" t="s">
        <v>601</v>
      </c>
      <c r="L44"/>
      <c r="M44"/>
      <c r="N44"/>
      <c r="O44"/>
      <c r="P44"/>
      <c r="Q44"/>
      <c r="R44" s="6" t="s">
        <v>30</v>
      </c>
      <c r="S44" s="6" t="s">
        <v>3</v>
      </c>
      <c r="T44" s="6" t="s">
        <v>85</v>
      </c>
      <c r="U44" s="6" t="s">
        <v>3</v>
      </c>
      <c r="V44" s="6" t="s">
        <v>3</v>
      </c>
      <c r="W44"/>
      <c r="X44" s="6" t="s">
        <v>3</v>
      </c>
      <c r="Y44"/>
      <c r="Z44" s="6" t="s">
        <v>3</v>
      </c>
      <c r="AA44"/>
      <c r="AB44" s="6" t="s">
        <v>3</v>
      </c>
      <c r="AC44" s="6" t="s">
        <v>3</v>
      </c>
      <c r="AD44" s="2" t="s">
        <v>3</v>
      </c>
      <c r="AE44" s="2" t="s">
        <v>862</v>
      </c>
    </row>
    <row r="45" spans="1:31" x14ac:dyDescent="0.25">
      <c r="A45" s="2" t="s">
        <v>1231</v>
      </c>
      <c r="B45" s="6">
        <v>1</v>
      </c>
      <c r="C45" t="s">
        <v>2128</v>
      </c>
      <c r="D45"/>
      <c r="E45"/>
      <c r="F45" s="34" t="s">
        <v>602</v>
      </c>
      <c r="G45" s="12" t="s">
        <v>3</v>
      </c>
      <c r="H45" s="12" t="s">
        <v>603</v>
      </c>
      <c r="I45" s="12" t="s">
        <v>604</v>
      </c>
      <c r="J45" s="12" t="s">
        <v>3</v>
      </c>
      <c r="K45" s="32" t="s">
        <v>601</v>
      </c>
      <c r="L45"/>
      <c r="M45"/>
      <c r="N45"/>
      <c r="O45"/>
      <c r="P45"/>
      <c r="Q45"/>
      <c r="R45" s="6" t="s">
        <v>30</v>
      </c>
      <c r="S45" s="6" t="s">
        <v>3</v>
      </c>
      <c r="T45" s="6" t="s">
        <v>85</v>
      </c>
      <c r="U45" s="6" t="s">
        <v>3</v>
      </c>
      <c r="V45" s="6" t="s">
        <v>3</v>
      </c>
      <c r="W45"/>
      <c r="X45" s="6" t="s">
        <v>3</v>
      </c>
      <c r="Y45"/>
      <c r="Z45" s="6" t="s">
        <v>3</v>
      </c>
      <c r="AA45"/>
      <c r="AB45" s="6" t="s">
        <v>3</v>
      </c>
      <c r="AC45" s="6" t="s">
        <v>3</v>
      </c>
      <c r="AD45" s="2" t="s">
        <v>3</v>
      </c>
      <c r="AE45" s="2" t="s">
        <v>862</v>
      </c>
    </row>
    <row r="46" spans="1:31" x14ac:dyDescent="0.25">
      <c r="A46" s="2" t="s">
        <v>1359</v>
      </c>
      <c r="B46" s="6">
        <v>1</v>
      </c>
      <c r="C46" t="s">
        <v>2135</v>
      </c>
      <c r="D46"/>
      <c r="E46"/>
      <c r="F46" s="34" t="s">
        <v>602</v>
      </c>
      <c r="G46" s="12" t="s">
        <v>3</v>
      </c>
      <c r="H46" s="12" t="s">
        <v>603</v>
      </c>
      <c r="I46" s="12" t="s">
        <v>604</v>
      </c>
      <c r="J46" s="12" t="s">
        <v>3</v>
      </c>
      <c r="K46" s="32" t="s">
        <v>601</v>
      </c>
      <c r="L46"/>
      <c r="M46"/>
      <c r="N46"/>
      <c r="O46"/>
      <c r="P46"/>
      <c r="Q46"/>
      <c r="R46" s="6" t="s">
        <v>30</v>
      </c>
      <c r="S46" s="6" t="s">
        <v>3</v>
      </c>
      <c r="T46" s="6" t="s">
        <v>85</v>
      </c>
      <c r="U46" s="6" t="s">
        <v>3</v>
      </c>
      <c r="V46" s="6" t="s">
        <v>3</v>
      </c>
      <c r="W46"/>
      <c r="X46" s="6" t="s">
        <v>3</v>
      </c>
      <c r="Y46"/>
      <c r="Z46" s="6" t="s">
        <v>3</v>
      </c>
      <c r="AA46"/>
      <c r="AB46" s="6" t="s">
        <v>3</v>
      </c>
      <c r="AC46" s="6" t="s">
        <v>3</v>
      </c>
      <c r="AD46" s="2" t="s">
        <v>3</v>
      </c>
      <c r="AE46" s="2" t="s">
        <v>862</v>
      </c>
    </row>
    <row r="47" spans="1:31" x14ac:dyDescent="0.25">
      <c r="A47" s="2" t="s">
        <v>2016</v>
      </c>
      <c r="B47" s="6">
        <v>1</v>
      </c>
      <c r="C47" t="s">
        <v>2140</v>
      </c>
      <c r="D47"/>
      <c r="E47"/>
      <c r="F47" s="34" t="s">
        <v>602</v>
      </c>
      <c r="G47" s="12" t="s">
        <v>3</v>
      </c>
      <c r="H47" s="12" t="s">
        <v>603</v>
      </c>
      <c r="I47" s="12" t="s">
        <v>604</v>
      </c>
      <c r="J47" s="12" t="s">
        <v>3</v>
      </c>
      <c r="K47" s="32" t="s">
        <v>601</v>
      </c>
      <c r="L47"/>
      <c r="M47"/>
      <c r="N47"/>
      <c r="O47"/>
      <c r="P47"/>
      <c r="Q47"/>
      <c r="R47" s="6" t="s">
        <v>30</v>
      </c>
      <c r="S47" s="6" t="s">
        <v>3</v>
      </c>
      <c r="T47" s="6" t="s">
        <v>85</v>
      </c>
      <c r="U47" s="6" t="s">
        <v>3</v>
      </c>
      <c r="V47" s="6" t="s">
        <v>3</v>
      </c>
      <c r="W47"/>
      <c r="X47" s="6" t="s">
        <v>3</v>
      </c>
      <c r="Y47"/>
      <c r="Z47" s="6" t="s">
        <v>3</v>
      </c>
      <c r="AA47"/>
      <c r="AB47" s="6" t="s">
        <v>3</v>
      </c>
      <c r="AC47" s="6" t="s">
        <v>3</v>
      </c>
      <c r="AD47" s="2" t="s">
        <v>3</v>
      </c>
      <c r="AE47" s="2" t="s">
        <v>862</v>
      </c>
    </row>
    <row r="48" spans="1:31" x14ac:dyDescent="0.25">
      <c r="A48" s="2" t="s">
        <v>2017</v>
      </c>
      <c r="B48" s="6">
        <v>1</v>
      </c>
      <c r="C48" t="s">
        <v>2150</v>
      </c>
      <c r="D48"/>
      <c r="E48"/>
      <c r="F48" s="34" t="s">
        <v>602</v>
      </c>
      <c r="G48" s="12" t="s">
        <v>3</v>
      </c>
      <c r="H48" s="12" t="s">
        <v>603</v>
      </c>
      <c r="I48" s="12" t="s">
        <v>604</v>
      </c>
      <c r="J48" s="12" t="s">
        <v>3</v>
      </c>
      <c r="K48" s="32" t="s">
        <v>601</v>
      </c>
      <c r="L48"/>
      <c r="M48"/>
      <c r="N48"/>
      <c r="O48"/>
      <c r="P48"/>
      <c r="Q48"/>
      <c r="R48" s="6" t="s">
        <v>30</v>
      </c>
      <c r="S48" s="6" t="s">
        <v>3</v>
      </c>
      <c r="T48" s="6" t="s">
        <v>85</v>
      </c>
      <c r="U48" s="6" t="s">
        <v>3</v>
      </c>
      <c r="V48" s="6" t="s">
        <v>3</v>
      </c>
      <c r="W48"/>
      <c r="X48" s="6" t="s">
        <v>3</v>
      </c>
      <c r="Y48"/>
      <c r="Z48" s="6" t="s">
        <v>3</v>
      </c>
      <c r="AA48"/>
      <c r="AB48" s="6" t="s">
        <v>3</v>
      </c>
      <c r="AC48" s="6" t="s">
        <v>3</v>
      </c>
      <c r="AD48" s="2" t="s">
        <v>3</v>
      </c>
      <c r="AE48" s="2" t="s">
        <v>862</v>
      </c>
    </row>
    <row r="49" spans="1:31" x14ac:dyDescent="0.25">
      <c r="A49" s="2" t="s">
        <v>2018</v>
      </c>
      <c r="B49" s="6">
        <v>1</v>
      </c>
      <c r="C49" t="s">
        <v>2155</v>
      </c>
      <c r="D49"/>
      <c r="E49"/>
      <c r="F49" s="34" t="s">
        <v>602</v>
      </c>
      <c r="G49" s="12" t="s">
        <v>3</v>
      </c>
      <c r="H49" s="12" t="s">
        <v>603</v>
      </c>
      <c r="I49" s="12" t="s">
        <v>604</v>
      </c>
      <c r="J49" s="12" t="s">
        <v>3</v>
      </c>
      <c r="K49" s="32" t="s">
        <v>601</v>
      </c>
      <c r="L49"/>
      <c r="M49"/>
      <c r="N49"/>
      <c r="O49"/>
      <c r="P49"/>
      <c r="Q49"/>
      <c r="R49" s="6" t="s">
        <v>30</v>
      </c>
      <c r="S49" s="6" t="s">
        <v>3</v>
      </c>
      <c r="T49" s="6" t="s">
        <v>85</v>
      </c>
      <c r="U49" s="6" t="s">
        <v>3</v>
      </c>
      <c r="V49" s="6" t="s">
        <v>3</v>
      </c>
      <c r="W49"/>
      <c r="X49" s="6" t="s">
        <v>3</v>
      </c>
      <c r="Y49"/>
      <c r="Z49" s="6" t="s">
        <v>3</v>
      </c>
      <c r="AA49"/>
      <c r="AB49" s="6" t="s">
        <v>3</v>
      </c>
      <c r="AC49" s="6" t="s">
        <v>3</v>
      </c>
      <c r="AD49" s="2" t="s">
        <v>3</v>
      </c>
      <c r="AE49" s="2" t="s">
        <v>862</v>
      </c>
    </row>
    <row r="50" spans="1:31" x14ac:dyDescent="0.25">
      <c r="A50" s="2" t="s">
        <v>2019</v>
      </c>
      <c r="B50" s="6">
        <v>1</v>
      </c>
      <c r="C50" t="s">
        <v>2160</v>
      </c>
      <c r="D50"/>
      <c r="E50"/>
      <c r="F50" s="34" t="s">
        <v>781</v>
      </c>
      <c r="G50" s="12" t="s">
        <v>3</v>
      </c>
      <c r="H50" s="12" t="s">
        <v>782</v>
      </c>
      <c r="I50" s="12" t="s">
        <v>783</v>
      </c>
      <c r="J50" s="12" t="s">
        <v>3</v>
      </c>
      <c r="K50" s="32" t="s">
        <v>784</v>
      </c>
      <c r="L50"/>
      <c r="M50"/>
      <c r="N50"/>
      <c r="O50"/>
      <c r="P50"/>
      <c r="Q50"/>
      <c r="R50" s="6" t="s">
        <v>785</v>
      </c>
      <c r="S50" s="6" t="s">
        <v>3</v>
      </c>
      <c r="T50" s="6" t="s">
        <v>786</v>
      </c>
      <c r="U50" s="6" t="s">
        <v>3</v>
      </c>
      <c r="V50" s="6" t="s">
        <v>3</v>
      </c>
      <c r="W50"/>
      <c r="X50" s="6" t="s">
        <v>3</v>
      </c>
      <c r="Y50"/>
      <c r="Z50" s="6" t="s">
        <v>3</v>
      </c>
      <c r="AA50"/>
      <c r="AB50" s="6" t="s">
        <v>3</v>
      </c>
      <c r="AC50" s="6" t="s">
        <v>3</v>
      </c>
      <c r="AD50" s="2" t="s">
        <v>3</v>
      </c>
      <c r="AE50" s="2" t="s">
        <v>862</v>
      </c>
    </row>
    <row r="51" spans="1:31" x14ac:dyDescent="0.25">
      <c r="A51" s="2" t="s">
        <v>2020</v>
      </c>
      <c r="B51" s="6">
        <v>1</v>
      </c>
      <c r="C51" t="s">
        <v>2167</v>
      </c>
      <c r="D51"/>
      <c r="E51"/>
      <c r="F51" s="34" t="s">
        <v>781</v>
      </c>
      <c r="G51" s="12" t="s">
        <v>3</v>
      </c>
      <c r="H51" s="12" t="s">
        <v>782</v>
      </c>
      <c r="I51" s="12" t="s">
        <v>783</v>
      </c>
      <c r="J51" s="12" t="s">
        <v>3</v>
      </c>
      <c r="K51" s="32" t="s">
        <v>784</v>
      </c>
      <c r="L51"/>
      <c r="M51"/>
      <c r="N51"/>
      <c r="O51"/>
      <c r="P51"/>
      <c r="Q51"/>
      <c r="R51" s="6" t="s">
        <v>785</v>
      </c>
      <c r="S51" s="6" t="s">
        <v>3</v>
      </c>
      <c r="T51" s="6" t="s">
        <v>786</v>
      </c>
      <c r="U51" s="6" t="s">
        <v>3</v>
      </c>
      <c r="V51" s="6" t="s">
        <v>3</v>
      </c>
      <c r="W51"/>
      <c r="X51" s="6" t="s">
        <v>3</v>
      </c>
      <c r="Y51"/>
      <c r="Z51" s="6" t="s">
        <v>3</v>
      </c>
      <c r="AA51"/>
      <c r="AB51" s="6" t="s">
        <v>3</v>
      </c>
      <c r="AC51" s="6" t="s">
        <v>3</v>
      </c>
      <c r="AD51" s="2" t="s">
        <v>3</v>
      </c>
      <c r="AE51" s="2" t="s">
        <v>862</v>
      </c>
    </row>
    <row r="52" spans="1:31" x14ac:dyDescent="0.25">
      <c r="A52" s="2" t="s">
        <v>2021</v>
      </c>
      <c r="B52" s="6">
        <v>1</v>
      </c>
      <c r="C52" t="s">
        <v>2171</v>
      </c>
      <c r="D52"/>
      <c r="E52"/>
      <c r="F52" s="34" t="s">
        <v>781</v>
      </c>
      <c r="G52" s="12" t="s">
        <v>3</v>
      </c>
      <c r="H52" s="12" t="s">
        <v>782</v>
      </c>
      <c r="I52" s="12" t="s">
        <v>783</v>
      </c>
      <c r="J52" s="12" t="s">
        <v>3</v>
      </c>
      <c r="K52" s="32" t="s">
        <v>784</v>
      </c>
      <c r="L52"/>
      <c r="M52"/>
      <c r="N52"/>
      <c r="O52"/>
      <c r="P52"/>
      <c r="Q52"/>
      <c r="R52" s="6" t="s">
        <v>785</v>
      </c>
      <c r="S52" s="6" t="s">
        <v>3</v>
      </c>
      <c r="T52" s="6" t="s">
        <v>786</v>
      </c>
      <c r="U52" s="6" t="s">
        <v>3</v>
      </c>
      <c r="V52" s="6" t="s">
        <v>3</v>
      </c>
      <c r="W52"/>
      <c r="X52" s="6" t="s">
        <v>3</v>
      </c>
      <c r="Y52"/>
      <c r="Z52" s="6" t="s">
        <v>3</v>
      </c>
      <c r="AA52"/>
      <c r="AB52" s="6" t="s">
        <v>3</v>
      </c>
      <c r="AC52" s="6" t="s">
        <v>3</v>
      </c>
      <c r="AD52" s="2" t="s">
        <v>3</v>
      </c>
      <c r="AE52" s="2" t="s">
        <v>862</v>
      </c>
    </row>
  </sheetData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9"/>
  <sheetViews>
    <sheetView zoomScale="85" zoomScaleNormal="85" workbookViewId="0">
      <selection activeCell="I25" sqref="I25"/>
    </sheetView>
  </sheetViews>
  <sheetFormatPr defaultRowHeight="15" x14ac:dyDescent="0.25"/>
  <cols>
    <col min="1" max="1" width="7.140625" style="1" bestFit="1" customWidth="1" collapsed="1"/>
    <col min="2" max="2" width="9.140625" style="1" collapsed="1"/>
    <col min="3" max="3" width="11.5703125" style="1" bestFit="1" customWidth="1" collapsed="1"/>
    <col min="4" max="4" width="15.28515625" style="1" customWidth="1" collapsed="1"/>
    <col min="5" max="5" width="9.28515625" style="1" customWidth="1" collapsed="1"/>
    <col min="6" max="6" width="12.7109375" style="1" bestFit="1" customWidth="1" collapsed="1"/>
    <col min="7" max="7" width="11.28515625" style="1" bestFit="1" customWidth="1" collapsed="1"/>
    <col min="8" max="8" width="11.28515625" style="1" customWidth="1" collapsed="1"/>
    <col min="9" max="9" width="15" style="1" bestFit="1" customWidth="1" collapsed="1"/>
    <col min="10" max="11" width="24.42578125" style="1" bestFit="1" customWidth="1" collapsed="1"/>
    <col min="12" max="12" width="15.28515625" style="1" bestFit="1" customWidth="1" collapsed="1"/>
    <col min="13" max="13" width="26.85546875" style="1" bestFit="1" customWidth="1" collapsed="1"/>
    <col min="14" max="14" width="26.85546875" style="1" customWidth="1" collapsed="1"/>
    <col min="15" max="15" width="15.5703125" style="1" bestFit="1" customWidth="1" collapsed="1"/>
    <col min="16" max="16" width="14" style="1" bestFit="1" customWidth="1" collapsed="1"/>
    <col min="17" max="17" width="19.85546875" style="1" bestFit="1" customWidth="1" collapsed="1"/>
    <col min="18" max="18" width="11.42578125" style="1" bestFit="1" customWidth="1" collapsed="1"/>
    <col min="19" max="19" width="19" style="1" customWidth="1" collapsed="1"/>
    <col min="20" max="25" width="9.140625" style="1" collapsed="1"/>
    <col min="26" max="26" width="17.42578125" style="1" bestFit="1" customWidth="1" collapsed="1"/>
    <col min="27" max="16384" width="9.140625" style="1" collapsed="1"/>
  </cols>
  <sheetData>
    <row r="1" spans="1:26" ht="15.75" customHeight="1" x14ac:dyDescent="0.25">
      <c r="A1" s="4" t="s">
        <v>0</v>
      </c>
      <c r="B1" s="19" t="s">
        <v>18</v>
      </c>
      <c r="C1" s="5" t="s">
        <v>44</v>
      </c>
      <c r="D1" s="5" t="s">
        <v>45</v>
      </c>
      <c r="E1" s="5" t="s">
        <v>105</v>
      </c>
      <c r="F1" s="5" t="s">
        <v>165</v>
      </c>
      <c r="G1" s="9" t="s">
        <v>155</v>
      </c>
      <c r="H1" s="9" t="s">
        <v>163</v>
      </c>
      <c r="I1" s="9" t="s">
        <v>663</v>
      </c>
      <c r="J1" s="9" t="s">
        <v>673</v>
      </c>
      <c r="K1" s="9" t="s">
        <v>665</v>
      </c>
      <c r="L1" s="9" t="s">
        <v>664</v>
      </c>
      <c r="M1" s="9" t="s">
        <v>666</v>
      </c>
      <c r="N1" s="9" t="s">
        <v>667</v>
      </c>
      <c r="O1" s="9" t="s">
        <v>153</v>
      </c>
      <c r="P1" s="9" t="s">
        <v>173</v>
      </c>
      <c r="Q1" s="9" t="s">
        <v>1030</v>
      </c>
      <c r="R1" s="5" t="s">
        <v>158</v>
      </c>
      <c r="S1" s="9" t="s">
        <v>193</v>
      </c>
      <c r="T1" s="9" t="s">
        <v>194</v>
      </c>
      <c r="U1" s="9" t="s">
        <v>201</v>
      </c>
      <c r="V1" s="9" t="s">
        <v>199</v>
      </c>
      <c r="W1" s="9" t="s">
        <v>200</v>
      </c>
      <c r="X1" s="9" t="s">
        <v>195</v>
      </c>
      <c r="Y1" s="9" t="s">
        <v>196</v>
      </c>
      <c r="Z1" s="9" t="s">
        <v>198</v>
      </c>
    </row>
    <row r="2" spans="1:26" x14ac:dyDescent="0.25">
      <c r="A2" s="2" t="s">
        <v>1</v>
      </c>
      <c r="B2" s="2">
        <v>1</v>
      </c>
      <c r="C2" s="2"/>
      <c r="D2" s="25"/>
      <c r="E2" s="2"/>
      <c r="F2" s="2" t="s">
        <v>3</v>
      </c>
      <c r="G2" s="2">
        <v>1234567890</v>
      </c>
      <c r="H2" s="26" t="s">
        <v>169</v>
      </c>
      <c r="I2" s="26"/>
      <c r="J2" s="26"/>
      <c r="K2" s="26"/>
      <c r="L2" s="26"/>
      <c r="M2" s="26"/>
      <c r="N2" s="26"/>
      <c r="O2" s="2"/>
      <c r="P2" s="2" t="s">
        <v>3</v>
      </c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2" t="s">
        <v>2</v>
      </c>
      <c r="B3" s="2">
        <v>1</v>
      </c>
      <c r="C3" s="2"/>
      <c r="D3" s="25"/>
      <c r="E3" s="2"/>
      <c r="F3" s="2" t="s">
        <v>3</v>
      </c>
      <c r="G3" s="2">
        <v>1234567890</v>
      </c>
      <c r="H3" s="26" t="s">
        <v>169</v>
      </c>
      <c r="I3" s="26"/>
      <c r="J3" s="26"/>
      <c r="K3" s="26"/>
      <c r="L3" s="26"/>
      <c r="M3" s="26"/>
      <c r="N3" s="26"/>
      <c r="O3" s="2"/>
      <c r="P3" s="2" t="s">
        <v>3</v>
      </c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2" t="s">
        <v>16</v>
      </c>
      <c r="B4" s="2">
        <v>1</v>
      </c>
      <c r="C4" s="2"/>
      <c r="D4" s="25"/>
      <c r="E4" s="2"/>
      <c r="F4" s="2" t="s">
        <v>3</v>
      </c>
      <c r="G4" s="2">
        <v>1234567890</v>
      </c>
      <c r="H4" s="26" t="s">
        <v>169</v>
      </c>
      <c r="I4" s="26"/>
      <c r="J4" s="26"/>
      <c r="K4" s="26"/>
      <c r="L4" s="26"/>
      <c r="M4" s="26"/>
      <c r="N4" s="26"/>
      <c r="O4" s="2"/>
      <c r="P4" s="2" t="s">
        <v>3</v>
      </c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2" t="s">
        <v>114</v>
      </c>
      <c r="B5" s="2">
        <v>1</v>
      </c>
      <c r="C5" s="2"/>
      <c r="D5" s="25"/>
      <c r="E5" s="2"/>
      <c r="F5" s="2" t="s">
        <v>3</v>
      </c>
      <c r="G5" s="2">
        <v>1234567890</v>
      </c>
      <c r="H5" s="26" t="s">
        <v>169</v>
      </c>
      <c r="I5" s="26"/>
      <c r="J5" s="26"/>
      <c r="K5" s="26"/>
      <c r="L5" s="26"/>
      <c r="M5" s="26"/>
      <c r="N5" s="26"/>
      <c r="O5" s="2"/>
      <c r="P5" s="2" t="s">
        <v>3</v>
      </c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2" t="s">
        <v>135</v>
      </c>
      <c r="B6" s="2">
        <v>1</v>
      </c>
      <c r="C6" s="2"/>
      <c r="D6" s="25"/>
      <c r="E6" s="2"/>
      <c r="F6" s="2" t="s">
        <v>3</v>
      </c>
      <c r="G6" s="2">
        <v>1234567890</v>
      </c>
      <c r="H6" s="26" t="s">
        <v>169</v>
      </c>
      <c r="I6" s="26"/>
      <c r="J6" s="26"/>
      <c r="K6" s="26"/>
      <c r="L6" s="26"/>
      <c r="M6" s="26"/>
      <c r="N6" s="26"/>
      <c r="O6" s="2"/>
      <c r="P6" s="2" t="s">
        <v>3</v>
      </c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2" t="s">
        <v>136</v>
      </c>
      <c r="B7" s="2">
        <v>1</v>
      </c>
      <c r="C7" s="2"/>
      <c r="D7" s="25"/>
      <c r="E7" s="2"/>
      <c r="F7" s="2" t="s">
        <v>3</v>
      </c>
      <c r="G7" s="2">
        <v>1234567890</v>
      </c>
      <c r="H7" s="26" t="s">
        <v>169</v>
      </c>
      <c r="I7" s="26"/>
      <c r="J7" s="26"/>
      <c r="K7" s="26"/>
      <c r="L7" s="26"/>
      <c r="M7" s="26"/>
      <c r="N7" s="26"/>
      <c r="O7" s="2"/>
      <c r="P7" s="2" t="s">
        <v>3</v>
      </c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2" t="s">
        <v>157</v>
      </c>
      <c r="B8" s="2">
        <v>1</v>
      </c>
      <c r="C8" s="2"/>
      <c r="D8" s="25"/>
      <c r="E8" s="2"/>
      <c r="F8" s="2" t="s">
        <v>3</v>
      </c>
      <c r="G8" s="2">
        <v>1234567890</v>
      </c>
      <c r="H8" s="26" t="s">
        <v>169</v>
      </c>
      <c r="I8" s="26"/>
      <c r="J8" s="26"/>
      <c r="K8" s="26"/>
      <c r="L8" s="26"/>
      <c r="M8" s="26"/>
      <c r="N8" s="26"/>
      <c r="O8" s="2"/>
      <c r="P8" s="2" t="s">
        <v>3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2" t="s">
        <v>172</v>
      </c>
      <c r="B9" s="2">
        <v>1</v>
      </c>
      <c r="C9" s="2"/>
      <c r="D9" s="25"/>
      <c r="E9" s="2"/>
      <c r="F9" s="2" t="s">
        <v>3</v>
      </c>
      <c r="G9" s="2"/>
      <c r="H9" s="26" t="s">
        <v>169</v>
      </c>
      <c r="I9" s="26"/>
      <c r="J9" s="26"/>
      <c r="K9" s="26"/>
      <c r="L9" s="26"/>
      <c r="M9" s="26"/>
      <c r="N9" s="26"/>
      <c r="O9" s="2"/>
      <c r="P9" s="2" t="s">
        <v>3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2" t="s">
        <v>188</v>
      </c>
      <c r="B10" s="2">
        <v>1</v>
      </c>
      <c r="C10" s="2"/>
      <c r="D10" s="25"/>
      <c r="E10" s="2"/>
      <c r="F10" s="2" t="s">
        <v>3</v>
      </c>
      <c r="G10" s="2">
        <v>1234567890</v>
      </c>
      <c r="H10" s="26" t="s">
        <v>169</v>
      </c>
      <c r="I10" s="26" t="s">
        <v>668</v>
      </c>
      <c r="J10" s="26" t="s">
        <v>3</v>
      </c>
      <c r="K10" s="63" t="s">
        <v>670</v>
      </c>
      <c r="L10" s="26" t="s">
        <v>669</v>
      </c>
      <c r="M10" s="63" t="s">
        <v>671</v>
      </c>
      <c r="N10" s="63" t="s">
        <v>672</v>
      </c>
      <c r="O10" s="14" t="s">
        <v>662</v>
      </c>
      <c r="P10" s="2" t="s">
        <v>3</v>
      </c>
      <c r="Q10" s="2" t="s">
        <v>3</v>
      </c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 t="s">
        <v>913</v>
      </c>
      <c r="B11" s="2">
        <v>1</v>
      </c>
      <c r="C11" s="2"/>
      <c r="D11" s="25"/>
      <c r="E11" s="2"/>
      <c r="F11" s="2" t="s">
        <v>3</v>
      </c>
      <c r="G11" s="2"/>
      <c r="H11" s="26" t="s">
        <v>169</v>
      </c>
      <c r="I11" s="26"/>
      <c r="J11" s="26"/>
      <c r="K11" s="26"/>
      <c r="L11" s="26"/>
      <c r="M11" s="26"/>
      <c r="N11" s="26"/>
      <c r="O11" s="2"/>
      <c r="P11" s="2" t="s">
        <v>3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 t="s">
        <v>912</v>
      </c>
      <c r="B12" s="2">
        <v>1</v>
      </c>
      <c r="C12" s="2"/>
      <c r="D12" s="25"/>
      <c r="E12" s="2"/>
      <c r="F12" s="2" t="s">
        <v>3</v>
      </c>
      <c r="G12" s="2"/>
      <c r="H12" s="26"/>
      <c r="I12" s="26" t="s">
        <v>668</v>
      </c>
      <c r="J12" s="26" t="s">
        <v>3</v>
      </c>
      <c r="K12" s="63" t="s">
        <v>2044</v>
      </c>
      <c r="L12" s="26" t="s">
        <v>669</v>
      </c>
      <c r="M12" s="63" t="s">
        <v>2045</v>
      </c>
      <c r="N12" s="63" t="s">
        <v>2048</v>
      </c>
      <c r="O12" s="2"/>
      <c r="P12" s="2" t="s">
        <v>3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 t="s">
        <v>918</v>
      </c>
      <c r="B13" s="2">
        <v>1</v>
      </c>
      <c r="C13" s="2"/>
      <c r="D13" s="25"/>
      <c r="E13" s="2"/>
      <c r="F13" s="2" t="s">
        <v>3</v>
      </c>
      <c r="G13" s="2"/>
      <c r="H13" s="26"/>
      <c r="I13" s="26" t="s">
        <v>668</v>
      </c>
      <c r="J13" s="26" t="s">
        <v>3</v>
      </c>
      <c r="K13" s="63" t="s">
        <v>2049</v>
      </c>
      <c r="L13" s="26" t="s">
        <v>2058</v>
      </c>
      <c r="M13" s="63" t="s">
        <v>2050</v>
      </c>
      <c r="N13" s="63" t="s">
        <v>2051</v>
      </c>
      <c r="O13" s="2"/>
      <c r="P13" s="2" t="s">
        <v>3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 t="s">
        <v>919</v>
      </c>
      <c r="B14" s="2">
        <v>1</v>
      </c>
      <c r="C14" s="2"/>
      <c r="D14" s="25"/>
      <c r="E14" s="2"/>
      <c r="F14" s="2" t="s">
        <v>3</v>
      </c>
      <c r="G14" s="2"/>
      <c r="H14" s="26"/>
      <c r="I14" s="26" t="s">
        <v>668</v>
      </c>
      <c r="J14" s="26" t="s">
        <v>3</v>
      </c>
      <c r="K14" s="63" t="s">
        <v>2052</v>
      </c>
      <c r="L14" s="26" t="s">
        <v>2059</v>
      </c>
      <c r="M14" s="63" t="s">
        <v>2053</v>
      </c>
      <c r="N14" s="63" t="s">
        <v>2054</v>
      </c>
      <c r="O14" s="2"/>
      <c r="P14" s="2" t="s">
        <v>3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 t="s">
        <v>920</v>
      </c>
      <c r="B15" s="2">
        <v>1</v>
      </c>
      <c r="C15" s="2"/>
      <c r="D15" s="25"/>
      <c r="E15" s="2"/>
      <c r="F15" s="2" t="s">
        <v>3</v>
      </c>
      <c r="G15" s="2"/>
      <c r="H15" s="26"/>
      <c r="I15" s="26" t="s">
        <v>668</v>
      </c>
      <c r="J15" s="26" t="s">
        <v>3</v>
      </c>
      <c r="K15" s="63" t="s">
        <v>2055</v>
      </c>
      <c r="L15" s="26" t="s">
        <v>2060</v>
      </c>
      <c r="M15" s="63" t="s">
        <v>2056</v>
      </c>
      <c r="N15" s="63" t="s">
        <v>2057</v>
      </c>
      <c r="O15" s="2"/>
      <c r="P15" s="2" t="s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 t="s">
        <v>921</v>
      </c>
      <c r="B16" s="2">
        <v>1</v>
      </c>
      <c r="C16" s="2"/>
      <c r="D16" s="25"/>
      <c r="E16" s="2"/>
      <c r="F16" s="2" t="s">
        <v>3</v>
      </c>
      <c r="G16" s="2"/>
      <c r="H16" s="26"/>
      <c r="I16" s="26" t="s">
        <v>668</v>
      </c>
      <c r="J16" s="26" t="s">
        <v>3</v>
      </c>
      <c r="K16" s="63" t="s">
        <v>2065</v>
      </c>
      <c r="L16" s="26" t="s">
        <v>2061</v>
      </c>
      <c r="M16" s="63" t="s">
        <v>2066</v>
      </c>
      <c r="N16" s="63" t="s">
        <v>2067</v>
      </c>
      <c r="O16" s="2"/>
      <c r="P16" s="2" t="s">
        <v>3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 t="s">
        <v>914</v>
      </c>
      <c r="B17" s="2">
        <v>1</v>
      </c>
      <c r="C17" s="2"/>
      <c r="D17" s="25"/>
      <c r="E17" s="2"/>
      <c r="F17" s="2" t="s">
        <v>3</v>
      </c>
      <c r="G17" s="2"/>
      <c r="H17" s="26"/>
      <c r="I17" s="26" t="s">
        <v>668</v>
      </c>
      <c r="J17" s="26" t="s">
        <v>3</v>
      </c>
      <c r="K17" s="63" t="s">
        <v>2068</v>
      </c>
      <c r="L17" s="26" t="s">
        <v>2062</v>
      </c>
      <c r="M17" s="63" t="s">
        <v>2069</v>
      </c>
      <c r="N17" s="63" t="s">
        <v>2070</v>
      </c>
      <c r="O17" s="2"/>
      <c r="P17" s="2" t="s">
        <v>3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 t="s">
        <v>922</v>
      </c>
      <c r="B18" s="2">
        <v>1</v>
      </c>
      <c r="C18" s="2"/>
      <c r="D18" s="25"/>
      <c r="E18" s="2"/>
      <c r="F18" s="2" t="s">
        <v>3</v>
      </c>
      <c r="G18" s="2"/>
      <c r="H18" s="26"/>
      <c r="I18" s="26" t="s">
        <v>668</v>
      </c>
      <c r="J18" s="26" t="s">
        <v>3</v>
      </c>
      <c r="K18" s="63" t="s">
        <v>2071</v>
      </c>
      <c r="L18" s="26" t="s">
        <v>2063</v>
      </c>
      <c r="M18" s="63" t="s">
        <v>2072</v>
      </c>
      <c r="N18" s="63" t="s">
        <v>2073</v>
      </c>
      <c r="O18" s="2"/>
      <c r="P18" s="2" t="s">
        <v>3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 t="s">
        <v>1121</v>
      </c>
      <c r="B19" s="2">
        <v>1</v>
      </c>
      <c r="C19" s="2"/>
      <c r="D19" s="25"/>
      <c r="E19" s="2"/>
      <c r="F19" s="2" t="s">
        <v>3</v>
      </c>
      <c r="G19" s="2"/>
      <c r="H19" s="26"/>
      <c r="I19" s="26" t="s">
        <v>668</v>
      </c>
      <c r="J19" s="26" t="s">
        <v>3</v>
      </c>
      <c r="K19" s="63" t="s">
        <v>2074</v>
      </c>
      <c r="L19" s="26" t="s">
        <v>2064</v>
      </c>
      <c r="M19" s="63" t="s">
        <v>2075</v>
      </c>
      <c r="N19" s="63" t="s">
        <v>2076</v>
      </c>
      <c r="O19" s="2"/>
      <c r="P19" s="2" t="s">
        <v>3</v>
      </c>
      <c r="Q19" s="2"/>
      <c r="R19" s="2"/>
      <c r="S19" s="2"/>
      <c r="T19" s="2"/>
      <c r="U19" s="2"/>
      <c r="V19" s="2"/>
      <c r="W19" s="2"/>
      <c r="X19" s="2"/>
      <c r="Y19" s="2"/>
      <c r="Z19" s="2"/>
    </row>
  </sheetData>
  <hyperlinks>
    <hyperlink ref="K10" r:id="rId1"/>
    <hyperlink ref="M10" r:id="rId2"/>
    <hyperlink ref="N10" r:id="rId3"/>
    <hyperlink ref="K13" r:id="rId4"/>
    <hyperlink ref="M13" r:id="rId5"/>
    <hyperlink ref="N13" r:id="rId6"/>
    <hyperlink ref="K12" r:id="rId7"/>
    <hyperlink ref="M12" r:id="rId8"/>
    <hyperlink ref="N12" r:id="rId9"/>
    <hyperlink ref="K14" r:id="rId10"/>
    <hyperlink ref="M14" r:id="rId11"/>
    <hyperlink ref="N14" r:id="rId12"/>
    <hyperlink ref="K15" r:id="rId13"/>
    <hyperlink ref="M15" r:id="rId14"/>
    <hyperlink ref="N15" r:id="rId15"/>
    <hyperlink ref="K16" r:id="rId16"/>
    <hyperlink ref="M16" r:id="rId17"/>
    <hyperlink ref="N16" r:id="rId18"/>
    <hyperlink ref="K17" r:id="rId19"/>
    <hyperlink ref="M17" r:id="rId20"/>
    <hyperlink ref="N17" r:id="rId21"/>
    <hyperlink ref="K18" r:id="rId22"/>
    <hyperlink ref="M18" r:id="rId23"/>
    <hyperlink ref="N18" r:id="rId24"/>
    <hyperlink ref="K19" r:id="rId25"/>
    <hyperlink ref="M19" r:id="rId26"/>
    <hyperlink ref="N19" r:id="rId27"/>
  </hyperlinks>
  <pageMargins left="0.7" right="0.7" top="0.75" bottom="0.75" header="0.3" footer="0.3"/>
  <pageSetup orientation="portrait" r:id="rId28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9"/>
  <sheetViews>
    <sheetView zoomScale="85" zoomScaleNormal="85" workbookViewId="0">
      <selection activeCell="J24" sqref="J24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1.5703125" style="1" bestFit="1" customWidth="1" collapsed="1"/>
    <col min="4" max="4" width="10.28515625" style="1" bestFit="1" customWidth="1" collapsed="1"/>
    <col min="5" max="5" width="14.7109375" style="1" customWidth="1" collapsed="1"/>
    <col min="6" max="6" width="16.28515625" style="1" customWidth="1" collapsed="1"/>
    <col min="7" max="7" width="15.28515625" style="1" customWidth="1" collapsed="1"/>
    <col min="8" max="16384" width="9.140625" style="1" collapsed="1"/>
  </cols>
  <sheetData>
    <row r="1" spans="1:9" x14ac:dyDescent="0.25">
      <c r="A1" s="9" t="s">
        <v>0</v>
      </c>
      <c r="B1" s="5" t="s">
        <v>18</v>
      </c>
      <c r="C1" s="5" t="s">
        <v>44</v>
      </c>
      <c r="D1" s="5" t="s">
        <v>176</v>
      </c>
      <c r="E1" s="5" t="s">
        <v>177</v>
      </c>
      <c r="F1" s="5" t="s">
        <v>45</v>
      </c>
      <c r="G1" s="5" t="s">
        <v>105</v>
      </c>
      <c r="H1" s="3"/>
      <c r="I1" s="3"/>
    </row>
    <row r="2" spans="1:9" x14ac:dyDescent="0.25">
      <c r="A2" s="2" t="s">
        <v>1</v>
      </c>
      <c r="B2" s="6">
        <v>1</v>
      </c>
      <c r="C2" s="6" t="s">
        <v>3</v>
      </c>
      <c r="D2"/>
      <c r="E2"/>
      <c r="F2" s="12" t="s">
        <v>202</v>
      </c>
      <c r="G2" s="2" t="s">
        <v>3</v>
      </c>
      <c r="H2"/>
      <c r="I2"/>
    </row>
    <row r="3" spans="1:9" x14ac:dyDescent="0.25">
      <c r="A3" s="2" t="s">
        <v>2</v>
      </c>
      <c r="B3" s="6">
        <v>1</v>
      </c>
      <c r="C3" s="6" t="s">
        <v>3</v>
      </c>
      <c r="D3"/>
      <c r="E3"/>
      <c r="F3" s="12" t="s">
        <v>348</v>
      </c>
      <c r="G3" s="2" t="s">
        <v>3</v>
      </c>
      <c r="H3"/>
      <c r="I3"/>
    </row>
    <row r="4" spans="1:9" x14ac:dyDescent="0.25">
      <c r="A4" s="2" t="s">
        <v>16</v>
      </c>
      <c r="B4" s="6">
        <v>1</v>
      </c>
      <c r="C4" s="6" t="s">
        <v>3</v>
      </c>
      <c r="D4"/>
      <c r="E4"/>
      <c r="F4"/>
      <c r="G4" s="2" t="s">
        <v>3</v>
      </c>
      <c r="H4"/>
      <c r="I4"/>
    </row>
    <row r="5" spans="1:9" x14ac:dyDescent="0.25">
      <c r="A5" s="2" t="s">
        <v>241</v>
      </c>
      <c r="B5" s="6">
        <v>1</v>
      </c>
      <c r="C5" s="6" t="s">
        <v>3</v>
      </c>
      <c r="D5"/>
      <c r="E5"/>
      <c r="F5" t="s">
        <v>355</v>
      </c>
      <c r="G5" s="2" t="s">
        <v>3</v>
      </c>
      <c r="H5" s="12" t="s">
        <v>296</v>
      </c>
      <c r="I5"/>
    </row>
    <row r="6" spans="1:9" x14ac:dyDescent="0.25">
      <c r="A6" s="2" t="s">
        <v>242</v>
      </c>
      <c r="B6" s="6">
        <v>1</v>
      </c>
      <c r="C6" s="6" t="s">
        <v>3</v>
      </c>
      <c r="D6"/>
      <c r="E6"/>
      <c r="F6">
        <v>147764844701094</v>
      </c>
      <c r="G6" s="2" t="s">
        <v>3</v>
      </c>
      <c r="H6" s="12" t="s">
        <v>296</v>
      </c>
      <c r="I6"/>
    </row>
    <row r="7" spans="1:9" x14ac:dyDescent="0.25">
      <c r="A7" s="2" t="s">
        <v>243</v>
      </c>
      <c r="B7" s="6">
        <v>1</v>
      </c>
      <c r="C7" s="6" t="s">
        <v>3</v>
      </c>
      <c r="D7"/>
      <c r="E7"/>
      <c r="F7" t="s">
        <v>343</v>
      </c>
      <c r="G7" s="2" t="s">
        <v>3</v>
      </c>
      <c r="H7" s="12" t="s">
        <v>296</v>
      </c>
      <c r="I7"/>
    </row>
    <row r="8" spans="1:9" x14ac:dyDescent="0.25">
      <c r="A8" s="2" t="s">
        <v>244</v>
      </c>
      <c r="B8" s="6">
        <v>1</v>
      </c>
      <c r="C8" s="6" t="s">
        <v>3</v>
      </c>
      <c r="D8"/>
      <c r="E8"/>
      <c r="F8" t="s">
        <v>344</v>
      </c>
      <c r="G8" s="2" t="s">
        <v>3</v>
      </c>
      <c r="H8" s="12" t="s">
        <v>296</v>
      </c>
      <c r="I8"/>
    </row>
    <row r="9" spans="1:9" x14ac:dyDescent="0.25">
      <c r="A9" s="2" t="s">
        <v>245</v>
      </c>
      <c r="B9" s="6">
        <v>1</v>
      </c>
      <c r="C9" s="6" t="s">
        <v>3</v>
      </c>
      <c r="D9"/>
      <c r="E9"/>
      <c r="F9" t="s">
        <v>345</v>
      </c>
      <c r="G9" s="2" t="s">
        <v>3</v>
      </c>
      <c r="H9" s="12" t="s">
        <v>296</v>
      </c>
      <c r="I9"/>
    </row>
    <row r="10" spans="1:9" x14ac:dyDescent="0.25">
      <c r="A10" s="2" t="s">
        <v>246</v>
      </c>
      <c r="B10" s="6">
        <v>1</v>
      </c>
      <c r="C10" s="6" t="s">
        <v>3</v>
      </c>
      <c r="D10"/>
      <c r="E10"/>
      <c r="F10" t="s">
        <v>346</v>
      </c>
      <c r="G10" s="2" t="s">
        <v>3</v>
      </c>
      <c r="H10" s="12" t="s">
        <v>296</v>
      </c>
      <c r="I10"/>
    </row>
    <row r="11" spans="1:9" x14ac:dyDescent="0.25">
      <c r="A11" s="2" t="s">
        <v>114</v>
      </c>
      <c r="B11" s="6">
        <v>1</v>
      </c>
      <c r="C11" s="6" t="s">
        <v>3</v>
      </c>
      <c r="D11"/>
      <c r="E11"/>
      <c r="F11" s="29">
        <f>SearchAccount!F6</f>
        <v>147764844701094</v>
      </c>
      <c r="G11" s="2" t="s">
        <v>3</v>
      </c>
      <c r="H11" s="12" t="s">
        <v>296</v>
      </c>
      <c r="I11"/>
    </row>
    <row r="12" spans="1:9" x14ac:dyDescent="0.25">
      <c r="A12" s="2" t="s">
        <v>132</v>
      </c>
      <c r="B12" s="6">
        <v>1</v>
      </c>
      <c r="C12" s="6" t="s">
        <v>3</v>
      </c>
      <c r="D12"/>
      <c r="E12"/>
      <c r="F12" s="29">
        <f>SearchAccount!F6</f>
        <v>147764844701094</v>
      </c>
      <c r="G12" s="2" t="s">
        <v>3</v>
      </c>
      <c r="H12" s="12" t="s">
        <v>296</v>
      </c>
      <c r="I12"/>
    </row>
    <row r="13" spans="1:9" x14ac:dyDescent="0.25">
      <c r="A13" s="2" t="s">
        <v>123</v>
      </c>
      <c r="B13" s="6">
        <v>1</v>
      </c>
      <c r="C13" s="6" t="s">
        <v>3</v>
      </c>
      <c r="D13"/>
      <c r="E13"/>
      <c r="F13" s="29">
        <f>SearchAccount!F6</f>
        <v>147764844701094</v>
      </c>
      <c r="G13" s="2" t="s">
        <v>3</v>
      </c>
      <c r="H13" s="12" t="s">
        <v>296</v>
      </c>
      <c r="I13"/>
    </row>
    <row r="14" spans="1:9" x14ac:dyDescent="0.25">
      <c r="A14" s="2" t="s">
        <v>134</v>
      </c>
      <c r="B14" s="6">
        <v>1</v>
      </c>
      <c r="C14" s="6" t="s">
        <v>3</v>
      </c>
      <c r="D14"/>
      <c r="E14"/>
      <c r="F14" s="29">
        <f>SearchAccount!F6</f>
        <v>147764844701094</v>
      </c>
      <c r="G14" s="2" t="s">
        <v>3</v>
      </c>
      <c r="H14" s="12" t="s">
        <v>296</v>
      </c>
      <c r="I14"/>
    </row>
    <row r="15" spans="1:9" x14ac:dyDescent="0.25">
      <c r="A15" s="2" t="s">
        <v>135</v>
      </c>
      <c r="B15" s="6">
        <v>1</v>
      </c>
      <c r="C15" s="6" t="s">
        <v>3</v>
      </c>
      <c r="D15"/>
      <c r="E15"/>
      <c r="F15" s="29">
        <f>SearchAccount!F6</f>
        <v>147764844701094</v>
      </c>
      <c r="G15" s="2" t="s">
        <v>3</v>
      </c>
      <c r="H15" s="12" t="s">
        <v>296</v>
      </c>
      <c r="I15"/>
    </row>
    <row r="16" spans="1:9" x14ac:dyDescent="0.25">
      <c r="A16" s="2" t="s">
        <v>136</v>
      </c>
      <c r="B16" s="6">
        <v>1</v>
      </c>
      <c r="C16" s="6" t="s">
        <v>3</v>
      </c>
      <c r="D16"/>
      <c r="E16"/>
      <c r="F16" s="29">
        <f>SearchAccount!F6</f>
        <v>147764844701094</v>
      </c>
      <c r="G16" s="2" t="s">
        <v>3</v>
      </c>
      <c r="H16" s="12" t="s">
        <v>296</v>
      </c>
      <c r="I16"/>
    </row>
    <row r="17" spans="1:13" x14ac:dyDescent="0.25">
      <c r="A17" s="2" t="s">
        <v>157</v>
      </c>
      <c r="B17" s="6">
        <v>1</v>
      </c>
      <c r="C17" s="6" t="s">
        <v>3</v>
      </c>
      <c r="D17"/>
      <c r="E17"/>
      <c r="F17" s="29">
        <f>SearchAccount!F6</f>
        <v>147764844701094</v>
      </c>
      <c r="G17" s="2" t="s">
        <v>3</v>
      </c>
      <c r="H17" s="12" t="s">
        <v>296</v>
      </c>
      <c r="I17"/>
    </row>
    <row r="18" spans="1:13" x14ac:dyDescent="0.25">
      <c r="A18" s="2" t="s">
        <v>172</v>
      </c>
      <c r="B18" s="6">
        <v>1</v>
      </c>
      <c r="C18" s="6" t="s">
        <v>3</v>
      </c>
      <c r="D18"/>
      <c r="E18"/>
      <c r="F18" s="24" t="str">
        <f>SearchAccount!F7</f>
        <v>147764852811022</v>
      </c>
      <c r="G18" s="2" t="s">
        <v>3</v>
      </c>
      <c r="H18" s="12" t="s">
        <v>296</v>
      </c>
      <c r="I18"/>
    </row>
    <row r="19" spans="1:13" x14ac:dyDescent="0.25">
      <c r="A19" s="2" t="s">
        <v>192</v>
      </c>
      <c r="B19" s="6">
        <v>1</v>
      </c>
      <c r="C19" s="6" t="s">
        <v>3</v>
      </c>
      <c r="D19"/>
      <c r="E19"/>
      <c r="F19" s="24" t="str">
        <f>SearchAccount!F10</f>
        <v>147765077347510</v>
      </c>
      <c r="G19" s="2" t="s">
        <v>3</v>
      </c>
      <c r="H19" s="12" t="s">
        <v>296</v>
      </c>
      <c r="I19"/>
    </row>
    <row r="20" spans="1:13" x14ac:dyDescent="0.25">
      <c r="A20" s="2" t="s">
        <v>248</v>
      </c>
      <c r="B20" s="6">
        <v>1</v>
      </c>
      <c r="C20" s="6" t="s">
        <v>3</v>
      </c>
      <c r="D20"/>
      <c r="E20"/>
      <c r="F20" t="s">
        <v>1426</v>
      </c>
      <c r="G20" s="2" t="s">
        <v>3</v>
      </c>
      <c r="H20" s="12" t="s">
        <v>297</v>
      </c>
      <c r="I20"/>
    </row>
    <row r="21" spans="1:13" x14ac:dyDescent="0.25">
      <c r="A21" s="2" t="s">
        <v>249</v>
      </c>
      <c r="B21" s="6">
        <v>1</v>
      </c>
      <c r="C21" s="6" t="s">
        <v>3</v>
      </c>
      <c r="D21"/>
      <c r="E21"/>
      <c r="F21" s="96" t="s">
        <v>1374</v>
      </c>
      <c r="G21" s="2" t="s">
        <v>3</v>
      </c>
      <c r="H21" s="12" t="s">
        <v>297</v>
      </c>
      <c r="I21"/>
    </row>
    <row r="22" spans="1:13" x14ac:dyDescent="0.25">
      <c r="A22" s="2" t="s">
        <v>256</v>
      </c>
      <c r="B22" s="6">
        <v>1</v>
      </c>
      <c r="C22" s="6" t="s">
        <v>3</v>
      </c>
      <c r="D22"/>
      <c r="E22"/>
      <c r="F22" t="str">
        <f>F21</f>
        <v>252684284762001</v>
      </c>
      <c r="G22" s="2" t="s">
        <v>3</v>
      </c>
      <c r="H22" s="12" t="s">
        <v>297</v>
      </c>
      <c r="I22"/>
    </row>
    <row r="23" spans="1:13" x14ac:dyDescent="0.25">
      <c r="A23" s="2" t="s">
        <v>547</v>
      </c>
      <c r="B23" s="6">
        <v>1</v>
      </c>
      <c r="C23" s="6" t="s">
        <v>3</v>
      </c>
      <c r="D23"/>
      <c r="E23"/>
      <c r="F23" t="s">
        <v>1427</v>
      </c>
      <c r="G23" s="2" t="s">
        <v>3</v>
      </c>
      <c r="H23" s="12" t="s">
        <v>297</v>
      </c>
      <c r="I23"/>
      <c r="M23" s="98"/>
    </row>
    <row r="24" spans="1:13" x14ac:dyDescent="0.25">
      <c r="A24" s="2" t="s">
        <v>181</v>
      </c>
      <c r="B24" s="6">
        <v>1</v>
      </c>
      <c r="C24" s="6" t="s">
        <v>3</v>
      </c>
      <c r="D24"/>
      <c r="E24"/>
      <c r="F24" s="14" t="str">
        <f>SearchAccount!F20</f>
        <v>854048458124082</v>
      </c>
      <c r="G24" s="2" t="s">
        <v>3</v>
      </c>
      <c r="H24" s="12" t="s">
        <v>297</v>
      </c>
      <c r="I24"/>
    </row>
    <row r="25" spans="1:13" x14ac:dyDescent="0.25">
      <c r="A25" s="2" t="s">
        <v>185</v>
      </c>
      <c r="B25" s="6">
        <v>1</v>
      </c>
      <c r="C25" s="6" t="s">
        <v>3</v>
      </c>
      <c r="D25"/>
      <c r="E25"/>
      <c r="F25" s="20" t="str">
        <f>SearchAccount!F20</f>
        <v>854048458124082</v>
      </c>
      <c r="G25" s="2" t="s">
        <v>3</v>
      </c>
      <c r="H25" s="12" t="s">
        <v>297</v>
      </c>
      <c r="I25"/>
    </row>
    <row r="26" spans="1:13" x14ac:dyDescent="0.25">
      <c r="A26" s="2" t="s">
        <v>187</v>
      </c>
      <c r="B26" s="6">
        <v>1</v>
      </c>
      <c r="C26" s="6" t="s">
        <v>3</v>
      </c>
      <c r="D26"/>
      <c r="E26"/>
      <c r="F26" s="14" t="str">
        <f>SearchAccount!F23</f>
        <v>298688197217680</v>
      </c>
      <c r="G26" s="2" t="s">
        <v>3</v>
      </c>
      <c r="H26" s="12" t="s">
        <v>297</v>
      </c>
      <c r="I26"/>
    </row>
    <row r="27" spans="1:13" x14ac:dyDescent="0.25">
      <c r="A27" s="2" t="s">
        <v>188</v>
      </c>
      <c r="B27" s="6">
        <v>1</v>
      </c>
      <c r="C27" s="6" t="s">
        <v>3</v>
      </c>
      <c r="D27"/>
      <c r="E27"/>
      <c r="F27" t="s">
        <v>1328</v>
      </c>
      <c r="G27" s="2" t="s">
        <v>3</v>
      </c>
      <c r="H27" s="12" t="s">
        <v>297</v>
      </c>
      <c r="I27"/>
    </row>
    <row r="28" spans="1:13" x14ac:dyDescent="0.25">
      <c r="A28" s="2" t="s">
        <v>189</v>
      </c>
      <c r="B28" s="6">
        <v>1</v>
      </c>
      <c r="C28" s="6" t="s">
        <v>3</v>
      </c>
      <c r="D28"/>
      <c r="E28"/>
      <c r="F28" s="14" t="str">
        <f>F27</f>
        <v>453115981845282</v>
      </c>
      <c r="G28" s="2" t="s">
        <v>3</v>
      </c>
      <c r="H28" s="12" t="s">
        <v>297</v>
      </c>
      <c r="I28"/>
    </row>
    <row r="29" spans="1:13" x14ac:dyDescent="0.25">
      <c r="A29" s="2" t="s">
        <v>190</v>
      </c>
      <c r="B29" s="6">
        <v>1</v>
      </c>
      <c r="C29" s="6" t="s">
        <v>3</v>
      </c>
      <c r="D29"/>
      <c r="E29"/>
      <c r="F29" s="14" t="str">
        <f>F28</f>
        <v>453115981845282</v>
      </c>
      <c r="G29" s="2" t="s">
        <v>3</v>
      </c>
      <c r="H29" s="12" t="s">
        <v>297</v>
      </c>
      <c r="I29"/>
    </row>
    <row r="30" spans="1:13" x14ac:dyDescent="0.25">
      <c r="A30" s="2" t="s">
        <v>772</v>
      </c>
      <c r="B30" s="6">
        <v>1</v>
      </c>
      <c r="C30" s="6" t="s">
        <v>3</v>
      </c>
      <c r="D30"/>
      <c r="E30"/>
      <c r="F30" t="s">
        <v>1378</v>
      </c>
      <c r="G30" s="2" t="s">
        <v>3</v>
      </c>
      <c r="H30" s="12" t="s">
        <v>297</v>
      </c>
      <c r="I30"/>
    </row>
    <row r="31" spans="1:13" x14ac:dyDescent="0.25">
      <c r="A31" s="2" t="s">
        <v>773</v>
      </c>
      <c r="B31" s="6">
        <v>1</v>
      </c>
      <c r="C31" s="6" t="s">
        <v>3</v>
      </c>
      <c r="D31"/>
      <c r="E31"/>
      <c r="F31" t="s">
        <v>1368</v>
      </c>
      <c r="G31" s="2" t="s">
        <v>3</v>
      </c>
      <c r="H31" s="12" t="s">
        <v>297</v>
      </c>
      <c r="I31"/>
    </row>
    <row r="32" spans="1:13" x14ac:dyDescent="0.25">
      <c r="A32" s="2" t="s">
        <v>191</v>
      </c>
      <c r="B32" s="6">
        <v>1</v>
      </c>
      <c r="C32" s="6" t="s">
        <v>3</v>
      </c>
      <c r="D32"/>
      <c r="E32"/>
      <c r="F32" t="str">
        <f>F30</f>
        <v>826954284196932</v>
      </c>
      <c r="G32" s="2" t="s">
        <v>3</v>
      </c>
      <c r="H32" s="12" t="s">
        <v>297</v>
      </c>
      <c r="I32"/>
    </row>
    <row r="33" spans="1:9" x14ac:dyDescent="0.25">
      <c r="A33" s="2" t="s">
        <v>911</v>
      </c>
      <c r="B33" s="6">
        <v>1</v>
      </c>
      <c r="C33" s="6" t="s">
        <v>3</v>
      </c>
      <c r="D33"/>
      <c r="E33"/>
      <c r="F33"/>
      <c r="G33" s="2" t="s">
        <v>3</v>
      </c>
      <c r="H33" s="12" t="s">
        <v>297</v>
      </c>
      <c r="I33"/>
    </row>
    <row r="34" spans="1:9" x14ac:dyDescent="0.25">
      <c r="A34" s="2" t="s">
        <v>912</v>
      </c>
      <c r="B34" s="6">
        <v>2</v>
      </c>
      <c r="C34" s="6" t="s">
        <v>3</v>
      </c>
      <c r="D34"/>
      <c r="E34"/>
      <c r="F34"/>
      <c r="G34" s="2" t="s">
        <v>3</v>
      </c>
      <c r="H34"/>
      <c r="I34"/>
    </row>
    <row r="35" spans="1:9" x14ac:dyDescent="0.25">
      <c r="A35" s="2" t="s">
        <v>913</v>
      </c>
      <c r="B35" s="6">
        <v>3</v>
      </c>
      <c r="C35" s="6" t="s">
        <v>3</v>
      </c>
      <c r="D35"/>
      <c r="E35"/>
      <c r="F35"/>
      <c r="G35" s="2" t="s">
        <v>3</v>
      </c>
      <c r="H35"/>
      <c r="I35"/>
    </row>
    <row r="36" spans="1:9" x14ac:dyDescent="0.25">
      <c r="A36" s="2" t="s">
        <v>914</v>
      </c>
      <c r="B36" s="6">
        <v>4</v>
      </c>
      <c r="C36" s="6" t="s">
        <v>3</v>
      </c>
      <c r="D36"/>
      <c r="E36"/>
      <c r="F36"/>
      <c r="G36" s="2" t="s">
        <v>3</v>
      </c>
      <c r="H36"/>
      <c r="I36"/>
    </row>
    <row r="37" spans="1:9" x14ac:dyDescent="0.25">
      <c r="A37" s="2" t="s">
        <v>872</v>
      </c>
      <c r="B37" s="6">
        <v>5</v>
      </c>
      <c r="C37" s="6" t="s">
        <v>3</v>
      </c>
      <c r="D37"/>
      <c r="E37"/>
      <c r="F37" t="s">
        <v>2124</v>
      </c>
      <c r="G37" s="2" t="s">
        <v>3</v>
      </c>
      <c r="H37"/>
      <c r="I37"/>
    </row>
    <row r="38" spans="1:9" x14ac:dyDescent="0.25">
      <c r="A38" s="2" t="s">
        <v>869</v>
      </c>
      <c r="B38" s="6">
        <v>6</v>
      </c>
      <c r="C38" s="6" t="s">
        <v>3</v>
      </c>
      <c r="D38"/>
      <c r="E38"/>
      <c r="F38"/>
      <c r="G38" s="2" t="s">
        <v>3</v>
      </c>
      <c r="H38"/>
      <c r="I38"/>
    </row>
    <row r="39" spans="1:9" x14ac:dyDescent="0.25">
      <c r="A39" s="2" t="s">
        <v>918</v>
      </c>
      <c r="B39" s="6">
        <v>7</v>
      </c>
      <c r="C39" s="6" t="s">
        <v>3</v>
      </c>
      <c r="D39"/>
      <c r="E39"/>
      <c r="F39"/>
      <c r="G39" s="2" t="s">
        <v>3</v>
      </c>
      <c r="H39"/>
      <c r="I39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9"/>
  <sheetViews>
    <sheetView zoomScale="85" zoomScaleNormal="85" workbookViewId="0">
      <selection activeCell="E5" sqref="E5"/>
    </sheetView>
  </sheetViews>
  <sheetFormatPr defaultRowHeight="15" x14ac:dyDescent="0.25"/>
  <cols>
    <col min="1" max="1" width="7.140625" style="15" bestFit="1" customWidth="1" collapsed="1"/>
    <col min="2" max="2" width="8.7109375" style="15" bestFit="1" customWidth="1" collapsed="1"/>
    <col min="3" max="4" width="15.5703125" style="15" bestFit="1" customWidth="1" collapsed="1"/>
    <col min="5" max="5" width="15.5703125" style="15" customWidth="1" collapsed="1"/>
    <col min="6" max="6" width="10.42578125" style="15" bestFit="1" customWidth="1" collapsed="1"/>
    <col min="7" max="7" width="14.42578125" style="15" bestFit="1" customWidth="1" collapsed="1"/>
    <col min="8" max="8" width="12" style="15" bestFit="1" customWidth="1" collapsed="1"/>
    <col min="9" max="9" width="16.42578125" style="15" bestFit="1" customWidth="1" collapsed="1"/>
    <col min="10" max="10" width="15.7109375" style="15" bestFit="1" customWidth="1" collapsed="1"/>
    <col min="11" max="11" width="8.5703125" style="15" customWidth="1" collapsed="1"/>
    <col min="12" max="12" width="21.85546875" style="15" bestFit="1" customWidth="1" collapsed="1"/>
    <col min="13" max="13" width="8.42578125" style="15" customWidth="1" collapsed="1"/>
    <col min="14" max="14" width="33.7109375" style="15" bestFit="1" customWidth="1" collapsed="1"/>
    <col min="15" max="15" width="135.5703125" style="15" bestFit="1" customWidth="1" collapsed="1"/>
    <col min="16" max="16" width="37.5703125" style="15" bestFit="1" customWidth="1" collapsed="1"/>
    <col min="17" max="16384" width="9.140625" style="15" collapsed="1"/>
  </cols>
  <sheetData>
    <row r="1" spans="1:16" x14ac:dyDescent="0.25">
      <c r="A1" s="9" t="s">
        <v>0</v>
      </c>
      <c r="B1" s="5" t="s">
        <v>18</v>
      </c>
      <c r="C1" s="5" t="s">
        <v>305</v>
      </c>
      <c r="D1" s="5" t="s">
        <v>43</v>
      </c>
      <c r="E1" s="5" t="s">
        <v>78</v>
      </c>
      <c r="F1" s="5" t="s">
        <v>69</v>
      </c>
      <c r="G1" s="9" t="s">
        <v>180</v>
      </c>
      <c r="H1" s="9" t="s">
        <v>147</v>
      </c>
      <c r="I1" s="9" t="s">
        <v>138</v>
      </c>
      <c r="J1" s="23" t="s">
        <v>500</v>
      </c>
      <c r="K1" s="9" t="s">
        <v>121</v>
      </c>
      <c r="L1" s="9" t="s">
        <v>183</v>
      </c>
      <c r="M1" s="9" t="s">
        <v>184</v>
      </c>
      <c r="N1" s="9" t="s">
        <v>186</v>
      </c>
      <c r="O1" s="9" t="s">
        <v>182</v>
      </c>
      <c r="P1" s="1"/>
    </row>
    <row r="2" spans="1:16" x14ac:dyDescent="0.25">
      <c r="A2" s="2" t="s">
        <v>248</v>
      </c>
      <c r="B2" s="2">
        <v>1</v>
      </c>
      <c r="C2" s="33" t="s">
        <v>43</v>
      </c>
      <c r="D2" t="s">
        <v>1426</v>
      </c>
      <c r="E2"/>
      <c r="F2"/>
      <c r="G2"/>
      <c r="H2"/>
      <c r="I2"/>
      <c r="J2"/>
      <c r="K2"/>
      <c r="L2"/>
      <c r="M2"/>
      <c r="N2"/>
      <c r="O2"/>
      <c r="P2"/>
    </row>
    <row r="3" spans="1:16" x14ac:dyDescent="0.25">
      <c r="A3" s="2" t="s">
        <v>249</v>
      </c>
      <c r="B3" s="2">
        <v>1</v>
      </c>
      <c r="C3" s="33" t="s">
        <v>78</v>
      </c>
      <c r="D3" s="96" t="s">
        <v>1374</v>
      </c>
      <c r="E3" s="96" t="s">
        <v>1376</v>
      </c>
      <c r="F3"/>
      <c r="G3"/>
      <c r="H3"/>
      <c r="I3"/>
      <c r="J3"/>
      <c r="K3"/>
      <c r="L3"/>
      <c r="M3"/>
      <c r="N3"/>
      <c r="O3"/>
      <c r="P3"/>
    </row>
    <row r="4" spans="1:16" x14ac:dyDescent="0.25">
      <c r="A4" s="2" t="s">
        <v>256</v>
      </c>
      <c r="B4" s="2">
        <v>1</v>
      </c>
      <c r="C4" s="33" t="s">
        <v>78</v>
      </c>
      <c r="D4" s="96" t="s">
        <v>1374</v>
      </c>
      <c r="E4" s="96" t="s">
        <v>1377</v>
      </c>
      <c r="F4"/>
      <c r="G4"/>
      <c r="H4"/>
      <c r="I4"/>
      <c r="J4"/>
      <c r="K4"/>
      <c r="L4"/>
      <c r="M4"/>
      <c r="N4"/>
      <c r="O4"/>
      <c r="P4"/>
    </row>
    <row r="5" spans="1:16" x14ac:dyDescent="0.25">
      <c r="A5" s="2" t="s">
        <v>547</v>
      </c>
      <c r="B5" s="2">
        <v>1</v>
      </c>
      <c r="C5" s="33" t="s">
        <v>43</v>
      </c>
      <c r="D5" t="s">
        <v>1427</v>
      </c>
      <c r="E5"/>
      <c r="F5"/>
      <c r="G5"/>
      <c r="H5"/>
      <c r="I5"/>
      <c r="J5"/>
      <c r="K5"/>
      <c r="L5"/>
      <c r="M5"/>
      <c r="N5"/>
      <c r="O5"/>
      <c r="P5"/>
    </row>
    <row r="6" spans="1:16" x14ac:dyDescent="0.25">
      <c r="A6" s="2" t="s">
        <v>181</v>
      </c>
      <c r="B6" s="2">
        <v>1</v>
      </c>
      <c r="C6"/>
      <c r="D6"/>
      <c r="E6"/>
      <c r="F6" s="2" t="s">
        <v>3</v>
      </c>
      <c r="G6" s="2" t="s">
        <v>3</v>
      </c>
      <c r="H6"/>
      <c r="I6" s="12" t="str">
        <f>D3</f>
        <v>252684284762001</v>
      </c>
      <c r="J6" s="2" t="s">
        <v>3</v>
      </c>
      <c r="K6" s="2" t="s">
        <v>3</v>
      </c>
      <c r="L6" s="12" t="str">
        <f>E4</f>
        <v>46UU VT7490</v>
      </c>
      <c r="M6" s="12" t="s">
        <v>3</v>
      </c>
      <c r="N6"/>
      <c r="O6"/>
      <c r="P6"/>
    </row>
    <row r="7" spans="1:16" x14ac:dyDescent="0.25">
      <c r="A7" s="2" t="s">
        <v>187</v>
      </c>
      <c r="B7" s="2">
        <v>1</v>
      </c>
      <c r="C7"/>
      <c r="D7"/>
      <c r="E7"/>
      <c r="F7" s="2" t="s">
        <v>3</v>
      </c>
      <c r="G7" s="2" t="s">
        <v>3</v>
      </c>
      <c r="H7"/>
      <c r="I7" s="12" t="str">
        <f>D4</f>
        <v>252684284762001</v>
      </c>
      <c r="J7" s="2" t="s">
        <v>3</v>
      </c>
      <c r="K7" s="2" t="s">
        <v>3</v>
      </c>
      <c r="L7" s="22" t="str">
        <f>E3</f>
        <v>46UU VT7489</v>
      </c>
      <c r="M7" s="12" t="s">
        <v>3</v>
      </c>
      <c r="N7" s="12" t="str">
        <f>(D3&amp;":::"&amp;D5)</f>
        <v>252684284762001:::298688197217680</v>
      </c>
      <c r="O7"/>
      <c r="P7"/>
    </row>
    <row r="8" spans="1:1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</row>
    <row r="9" spans="1:1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zoomScale="85" zoomScaleNormal="85" workbookViewId="0">
      <pane xSplit="1" ySplit="1" topLeftCell="B2" activePane="bottomRight" state="frozen"/>
      <selection activeCell="A2" sqref="A2"/>
      <selection pane="topRight" activeCell="A2" sqref="A2"/>
      <selection pane="bottomLeft" activeCell="A2" sqref="A2"/>
      <selection pane="bottomRight" activeCell="E4" sqref="E4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45.7109375" style="1" bestFit="1" customWidth="1" collapsed="1"/>
    <col min="4" max="4" width="16" style="1" bestFit="1" customWidth="1" collapsed="1"/>
    <col min="5" max="5" width="16" style="1" customWidth="1" collapsed="1"/>
    <col min="6" max="6" width="10.42578125" style="1" bestFit="1" customWidth="1" collapsed="1"/>
    <col min="7" max="7" width="11.42578125" style="1" bestFit="1" customWidth="1" collapsed="1"/>
    <col min="8" max="8" width="7.85546875" style="1" bestFit="1" customWidth="1" collapsed="1"/>
    <col min="9" max="9" width="14.28515625" style="1" bestFit="1" customWidth="1" collapsed="1"/>
    <col min="10" max="10" width="12.7109375" style="1" bestFit="1" customWidth="1" collapsed="1"/>
    <col min="11" max="11" width="16.42578125" style="1" bestFit="1" customWidth="1" collapsed="1"/>
    <col min="12" max="12" width="23.85546875" style="1" bestFit="1" customWidth="1" collapsed="1"/>
    <col min="13" max="13" width="15.7109375" style="1" bestFit="1" customWidth="1" collapsed="1"/>
    <col min="14" max="14" width="9.28515625" style="1" bestFit="1" customWidth="1" collapsed="1"/>
    <col min="15" max="15" width="9.7109375" style="1" bestFit="1" customWidth="1" collapsed="1"/>
    <col min="16" max="16" width="15.7109375" style="1" bestFit="1" customWidth="1" collapsed="1"/>
    <col min="17" max="17" width="14.42578125" style="1" bestFit="1" customWidth="1" collapsed="1"/>
    <col min="18" max="18" width="115.140625" style="1" bestFit="1" customWidth="1" collapsed="1"/>
    <col min="19" max="16384" width="9.140625" style="1" collapsed="1"/>
  </cols>
  <sheetData>
    <row r="1" spans="1:18" x14ac:dyDescent="0.25">
      <c r="A1" s="9" t="s">
        <v>0</v>
      </c>
      <c r="B1" s="5" t="s">
        <v>18</v>
      </c>
      <c r="C1" s="9" t="s">
        <v>340</v>
      </c>
      <c r="D1" s="5" t="s">
        <v>43</v>
      </c>
      <c r="E1" s="5" t="s">
        <v>78</v>
      </c>
      <c r="F1" s="5" t="s">
        <v>69</v>
      </c>
      <c r="G1" s="5" t="s">
        <v>158</v>
      </c>
      <c r="H1" s="5" t="s">
        <v>159</v>
      </c>
      <c r="I1" s="5" t="s">
        <v>160</v>
      </c>
      <c r="J1" s="5" t="s">
        <v>119</v>
      </c>
      <c r="K1" s="5" t="s">
        <v>138</v>
      </c>
      <c r="L1" s="5" t="s">
        <v>139</v>
      </c>
      <c r="M1" s="19" t="s">
        <v>500</v>
      </c>
      <c r="N1" s="19" t="s">
        <v>121</v>
      </c>
      <c r="O1" s="9" t="s">
        <v>122</v>
      </c>
      <c r="P1" s="9" t="s">
        <v>133</v>
      </c>
      <c r="Q1" s="9" t="s">
        <v>56</v>
      </c>
      <c r="R1" s="9" t="s">
        <v>131</v>
      </c>
    </row>
    <row r="2" spans="1:18" x14ac:dyDescent="0.25">
      <c r="A2" s="2" t="s">
        <v>772</v>
      </c>
      <c r="B2" s="6">
        <v>1</v>
      </c>
      <c r="C2" s="33" t="s">
        <v>859</v>
      </c>
      <c r="D2" t="s">
        <v>1378</v>
      </c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8" x14ac:dyDescent="0.25">
      <c r="A3" s="2" t="s">
        <v>773</v>
      </c>
      <c r="B3" s="6">
        <v>1</v>
      </c>
      <c r="C3" s="33" t="s">
        <v>860</v>
      </c>
      <c r="D3" s="96" t="s">
        <v>1379</v>
      </c>
      <c r="E3" s="96" t="s">
        <v>1380</v>
      </c>
      <c r="F3"/>
      <c r="G3"/>
      <c r="H3"/>
      <c r="I3"/>
      <c r="J3"/>
      <c r="K3"/>
      <c r="L3"/>
      <c r="M3"/>
      <c r="N3"/>
      <c r="O3"/>
      <c r="P3"/>
      <c r="Q3"/>
      <c r="R3"/>
    </row>
    <row r="4" spans="1:18" x14ac:dyDescent="0.25">
      <c r="A4" s="2" t="s">
        <v>191</v>
      </c>
      <c r="B4" s="6">
        <v>1</v>
      </c>
      <c r="C4"/>
      <c r="D4"/>
      <c r="E4"/>
      <c r="F4" s="2" t="s">
        <v>3</v>
      </c>
      <c r="G4"/>
      <c r="H4"/>
      <c r="I4"/>
      <c r="J4" s="2" t="s">
        <v>3</v>
      </c>
      <c r="K4" s="12" t="str">
        <f>AccountMerge!D3</f>
        <v>349942798164499</v>
      </c>
      <c r="L4"/>
      <c r="M4" s="2" t="s">
        <v>3</v>
      </c>
      <c r="N4" s="2" t="s">
        <v>3</v>
      </c>
      <c r="O4" s="2" t="s">
        <v>3</v>
      </c>
      <c r="P4"/>
      <c r="Q4" s="2" t="s">
        <v>3</v>
      </c>
      <c r="R4"/>
    </row>
    <row r="5" spans="1:18" x14ac:dyDescent="0.25">
      <c r="A5" s="2" t="s">
        <v>114</v>
      </c>
      <c r="B5" s="6">
        <v>1</v>
      </c>
      <c r="C5"/>
      <c r="D5"/>
      <c r="E5"/>
      <c r="F5" s="2" t="s">
        <v>3</v>
      </c>
      <c r="G5"/>
      <c r="H5"/>
      <c r="I5"/>
      <c r="J5" s="2" t="s">
        <v>3</v>
      </c>
      <c r="K5" s="12" t="str">
        <f>AccountMerge!D2</f>
        <v>826954284196932</v>
      </c>
      <c r="L5"/>
      <c r="M5" s="2" t="s">
        <v>3</v>
      </c>
      <c r="N5" s="2" t="s">
        <v>3</v>
      </c>
      <c r="O5" s="2" t="s">
        <v>3</v>
      </c>
      <c r="P5"/>
      <c r="Q5" s="2" t="s">
        <v>3</v>
      </c>
      <c r="R5" s="2" t="str">
        <f>("MergeValidation:::Account Merge is complete. Please review and update AIF in other systems as needed."&amp;":::"&amp;E2)</f>
        <v>MergeValidation:::Account Merge is complete. Please review and update AIF in other systems as needed.:::</v>
      </c>
    </row>
    <row r="6" spans="1:18" x14ac:dyDescent="0.25">
      <c r="A6" s="2" t="s">
        <v>132</v>
      </c>
      <c r="B6" s="6">
        <v>1</v>
      </c>
      <c r="C6"/>
      <c r="D6"/>
      <c r="E6"/>
      <c r="F6" s="2" t="s">
        <v>3</v>
      </c>
      <c r="G6"/>
      <c r="H6"/>
      <c r="I6"/>
      <c r="J6"/>
      <c r="K6"/>
      <c r="L6"/>
      <c r="M6"/>
      <c r="N6"/>
      <c r="O6"/>
      <c r="P6"/>
      <c r="Q6"/>
      <c r="R6" s="2" t="s">
        <v>141</v>
      </c>
    </row>
    <row r="7" spans="1:18" x14ac:dyDescent="0.25">
      <c r="A7" s="2" t="s">
        <v>123</v>
      </c>
      <c r="B7" s="6">
        <v>1</v>
      </c>
      <c r="C7"/>
      <c r="D7"/>
      <c r="E7"/>
      <c r="F7" s="2" t="s">
        <v>3</v>
      </c>
      <c r="G7"/>
      <c r="H7"/>
      <c r="I7"/>
      <c r="J7" s="2" t="s">
        <v>3</v>
      </c>
      <c r="K7" s="20" t="str">
        <f>AccountMerge!D2</f>
        <v>826954284196932</v>
      </c>
      <c r="L7"/>
      <c r="M7" s="2" t="s">
        <v>3</v>
      </c>
      <c r="N7" s="2" t="s">
        <v>3</v>
      </c>
      <c r="O7"/>
      <c r="P7" s="2" t="s">
        <v>3</v>
      </c>
      <c r="Q7"/>
      <c r="R7" s="2" t="s">
        <v>142</v>
      </c>
    </row>
    <row r="8" spans="1:18" x14ac:dyDescent="0.25">
      <c r="A8" s="2" t="s">
        <v>134</v>
      </c>
      <c r="B8" s="6">
        <v>1</v>
      </c>
      <c r="C8"/>
      <c r="D8"/>
      <c r="E8"/>
      <c r="F8" s="2" t="s">
        <v>3</v>
      </c>
      <c r="G8"/>
      <c r="H8"/>
      <c r="I8"/>
      <c r="J8" s="2" t="s">
        <v>3</v>
      </c>
      <c r="K8" s="20" t="str">
        <f>AccountMerge!D2</f>
        <v>826954284196932</v>
      </c>
      <c r="L8"/>
      <c r="M8" s="2" t="s">
        <v>3</v>
      </c>
      <c r="N8"/>
      <c r="O8"/>
      <c r="P8"/>
      <c r="Q8"/>
      <c r="R8" s="2" t="s">
        <v>143</v>
      </c>
    </row>
    <row r="9" spans="1:18" x14ac:dyDescent="0.25">
      <c r="A9" s="2" t="s">
        <v>135</v>
      </c>
      <c r="B9" s="6">
        <v>1</v>
      </c>
      <c r="C9"/>
      <c r="D9"/>
      <c r="E9"/>
      <c r="F9" s="2" t="s">
        <v>3</v>
      </c>
      <c r="G9"/>
      <c r="H9"/>
      <c r="I9"/>
      <c r="J9" s="2" t="s">
        <v>3</v>
      </c>
      <c r="K9" s="20" t="str">
        <f>D3</f>
        <v>349942798164499</v>
      </c>
      <c r="L9"/>
      <c r="M9" s="2" t="s">
        <v>3</v>
      </c>
      <c r="N9"/>
      <c r="O9"/>
      <c r="P9"/>
      <c r="Q9"/>
      <c r="R9" s="2" t="s">
        <v>144</v>
      </c>
    </row>
    <row r="10" spans="1:18" x14ac:dyDescent="0.25">
      <c r="A10" s="2" t="s">
        <v>136</v>
      </c>
      <c r="B10" s="6">
        <v>1</v>
      </c>
      <c r="C10"/>
      <c r="D10"/>
      <c r="E10"/>
      <c r="F10" s="2" t="s">
        <v>3</v>
      </c>
      <c r="G10"/>
      <c r="H10"/>
      <c r="I10"/>
      <c r="J10" s="2" t="s">
        <v>3</v>
      </c>
      <c r="K10" s="20" t="str">
        <f>AccountMerge!D2</f>
        <v>826954284196932</v>
      </c>
      <c r="L10"/>
      <c r="M10" s="2" t="s">
        <v>3</v>
      </c>
      <c r="N10"/>
      <c r="O10"/>
      <c r="P10"/>
      <c r="Q10"/>
      <c r="R10"/>
    </row>
    <row r="11" spans="1:18" x14ac:dyDescent="0.25">
      <c r="A11" s="2" t="s">
        <v>157</v>
      </c>
      <c r="B11" s="6">
        <v>1</v>
      </c>
      <c r="C11"/>
      <c r="D11"/>
      <c r="E11"/>
      <c r="F11"/>
      <c r="G11" s="2" t="s">
        <v>3</v>
      </c>
      <c r="H11" s="2" t="s">
        <v>3</v>
      </c>
      <c r="I11" s="2" t="s">
        <v>3</v>
      </c>
      <c r="J11"/>
      <c r="K11"/>
      <c r="L11"/>
      <c r="M11"/>
      <c r="N11"/>
      <c r="O11"/>
      <c r="P11"/>
      <c r="Q11"/>
      <c r="R11"/>
    </row>
    <row r="12" spans="1:18" x14ac:dyDescent="0.25">
      <c r="A12" s="2" t="s">
        <v>172</v>
      </c>
      <c r="B12" s="6">
        <v>1</v>
      </c>
      <c r="C12"/>
      <c r="D12"/>
      <c r="E12"/>
      <c r="F12" s="2" t="s">
        <v>3</v>
      </c>
      <c r="G12"/>
      <c r="H12"/>
      <c r="I12"/>
      <c r="J12" s="2" t="s">
        <v>3</v>
      </c>
      <c r="K12" s="20" t="e">
        <f>AccountMerge!#REF!</f>
        <v>#REF!</v>
      </c>
      <c r="L12"/>
      <c r="M12" s="2" t="s">
        <v>3</v>
      </c>
      <c r="N12" s="2" t="s">
        <v>3</v>
      </c>
      <c r="O12" s="2" t="s">
        <v>3</v>
      </c>
      <c r="P12"/>
      <c r="Q12" s="2" t="s">
        <v>3</v>
      </c>
      <c r="R12" s="2" t="s">
        <v>140</v>
      </c>
    </row>
    <row r="21" spans="1:18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zoomScale="70" zoomScaleNormal="70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N7" sqref="N7"/>
    </sheetView>
  </sheetViews>
  <sheetFormatPr defaultRowHeight="15" x14ac:dyDescent="0.25"/>
  <cols>
    <col min="1" max="1" width="6" style="15" bestFit="1" customWidth="1" collapsed="1"/>
    <col min="2" max="2" width="11.140625" style="15" customWidth="1" collapsed="1"/>
    <col min="3" max="3" width="17.140625" style="15" bestFit="1" customWidth="1" collapsed="1"/>
    <col min="4" max="4" width="20.140625" style="15" bestFit="1" customWidth="1" collapsed="1"/>
    <col min="5" max="5" width="13.42578125" style="15" bestFit="1" customWidth="1" collapsed="1"/>
    <col min="6" max="6" width="14.5703125" style="15" bestFit="1" customWidth="1" collapsed="1"/>
    <col min="7" max="7" width="21.7109375" style="15" bestFit="1" customWidth="1" collapsed="1"/>
    <col min="8" max="8" width="15.7109375" style="15" bestFit="1" customWidth="1" collapsed="1"/>
    <col min="9" max="16" width="21.7109375" style="15" customWidth="1" collapsed="1"/>
    <col min="17" max="17" width="13.42578125" style="15" bestFit="1" customWidth="1" collapsed="1"/>
    <col min="18" max="18" width="197.85546875" style="15" bestFit="1" customWidth="1" collapsed="1"/>
    <col min="19" max="16384" width="9.140625" style="15" collapsed="1"/>
  </cols>
  <sheetData>
    <row r="1" spans="1:19" x14ac:dyDescent="0.25">
      <c r="A1" s="9" t="s">
        <v>0</v>
      </c>
      <c r="B1" s="9" t="s">
        <v>18</v>
      </c>
      <c r="C1" s="5" t="s">
        <v>305</v>
      </c>
      <c r="D1" s="5" t="s">
        <v>43</v>
      </c>
      <c r="E1" s="5" t="s">
        <v>176</v>
      </c>
      <c r="F1" s="9" t="s">
        <v>177</v>
      </c>
      <c r="G1" s="9" t="s">
        <v>130</v>
      </c>
      <c r="H1" s="9" t="s">
        <v>147</v>
      </c>
      <c r="I1" s="9" t="s">
        <v>151</v>
      </c>
      <c r="J1" s="9" t="s">
        <v>138</v>
      </c>
      <c r="K1" s="5" t="s">
        <v>139</v>
      </c>
      <c r="L1" s="5" t="s">
        <v>170</v>
      </c>
      <c r="M1" s="5" t="s">
        <v>166</v>
      </c>
      <c r="N1" s="5" t="s">
        <v>167</v>
      </c>
      <c r="O1" s="5" t="s">
        <v>168</v>
      </c>
      <c r="P1" s="5" t="s">
        <v>129</v>
      </c>
      <c r="Q1" s="9" t="s">
        <v>120</v>
      </c>
      <c r="R1" s="9" t="s">
        <v>137</v>
      </c>
    </row>
    <row r="2" spans="1:19" x14ac:dyDescent="0.25">
      <c r="A2" s="2" t="s">
        <v>241</v>
      </c>
      <c r="B2" s="4">
        <v>1</v>
      </c>
      <c r="C2" s="33" t="s">
        <v>43</v>
      </c>
      <c r="D2" t="s">
        <v>355</v>
      </c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9" x14ac:dyDescent="0.25">
      <c r="A3" s="2" t="s">
        <v>114</v>
      </c>
      <c r="B3" s="2">
        <v>1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 s="2" t="s">
        <v>175</v>
      </c>
    </row>
    <row r="4" spans="1:19" x14ac:dyDescent="0.25">
      <c r="A4" s="2" t="s">
        <v>114</v>
      </c>
      <c r="B4" s="2">
        <v>2</v>
      </c>
      <c r="C4"/>
      <c r="D4"/>
      <c r="E4" s="2" t="s">
        <v>3</v>
      </c>
      <c r="F4" s="2" t="s">
        <v>3</v>
      </c>
      <c r="G4" t="str">
        <f>AccountMergeVerification!D2</f>
        <v>147809894513710</v>
      </c>
      <c r="H4"/>
      <c r="I4"/>
      <c r="J4"/>
      <c r="K4"/>
      <c r="L4"/>
      <c r="M4"/>
      <c r="N4"/>
      <c r="O4"/>
      <c r="P4" s="2" t="s">
        <v>3</v>
      </c>
      <c r="Q4"/>
      <c r="R4" s="2" t="s">
        <v>178</v>
      </c>
    </row>
    <row r="5" spans="1:19" x14ac:dyDescent="0.25">
      <c r="A5" s="2" t="s">
        <v>136</v>
      </c>
      <c r="B5" s="2">
        <v>1</v>
      </c>
      <c r="C5"/>
      <c r="D5"/>
      <c r="E5"/>
      <c r="F5"/>
      <c r="G5"/>
      <c r="H5" s="14" t="s">
        <v>3</v>
      </c>
      <c r="I5"/>
      <c r="J5"/>
      <c r="K5"/>
      <c r="L5"/>
      <c r="M5"/>
      <c r="N5"/>
      <c r="O5"/>
      <c r="P5"/>
      <c r="Q5"/>
      <c r="R5" s="14" t="s">
        <v>146</v>
      </c>
    </row>
    <row r="6" spans="1:19" x14ac:dyDescent="0.25">
      <c r="A6" s="2" t="s">
        <v>136</v>
      </c>
      <c r="B6" s="2">
        <v>2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 s="14" t="s">
        <v>3</v>
      </c>
      <c r="R6" s="2" t="s">
        <v>145</v>
      </c>
    </row>
    <row r="7" spans="1:19" x14ac:dyDescent="0.25">
      <c r="A7" s="2" t="s">
        <v>136</v>
      </c>
      <c r="B7" s="2">
        <v>3</v>
      </c>
      <c r="C7"/>
      <c r="D7"/>
      <c r="E7"/>
      <c r="F7"/>
      <c r="G7"/>
      <c r="H7" s="2" t="s">
        <v>3</v>
      </c>
      <c r="I7"/>
      <c r="J7"/>
      <c r="K7" s="2" t="s">
        <v>149</v>
      </c>
      <c r="L7"/>
      <c r="M7"/>
      <c r="N7"/>
      <c r="O7"/>
      <c r="P7"/>
      <c r="Q7" s="2" t="s">
        <v>3</v>
      </c>
      <c r="R7" s="2" t="s">
        <v>148</v>
      </c>
    </row>
    <row r="8" spans="1:19" x14ac:dyDescent="0.25">
      <c r="A8" s="2" t="s">
        <v>136</v>
      </c>
      <c r="B8" s="2">
        <v>4</v>
      </c>
      <c r="C8"/>
      <c r="D8"/>
      <c r="E8"/>
      <c r="F8"/>
      <c r="G8"/>
      <c r="H8" s="2" t="s">
        <v>3</v>
      </c>
      <c r="I8" s="2" t="s">
        <v>3</v>
      </c>
      <c r="J8"/>
      <c r="K8" s="2" t="s">
        <v>150</v>
      </c>
      <c r="L8"/>
      <c r="M8"/>
      <c r="N8"/>
      <c r="O8"/>
      <c r="P8"/>
      <c r="Q8" s="2" t="s">
        <v>3</v>
      </c>
      <c r="R8" s="2" t="s">
        <v>152</v>
      </c>
    </row>
    <row r="9" spans="1:19" x14ac:dyDescent="0.25">
      <c r="A9" s="2" t="s">
        <v>136</v>
      </c>
      <c r="B9" s="2">
        <v>5</v>
      </c>
      <c r="C9"/>
      <c r="D9"/>
      <c r="E9"/>
      <c r="F9"/>
      <c r="G9"/>
      <c r="H9" s="2" t="s">
        <v>3</v>
      </c>
      <c r="I9"/>
      <c r="J9"/>
      <c r="K9"/>
      <c r="L9" s="2">
        <v>123456</v>
      </c>
      <c r="M9"/>
      <c r="N9"/>
      <c r="O9"/>
      <c r="P9"/>
      <c r="Q9" s="2" t="s">
        <v>3</v>
      </c>
      <c r="R9" s="2" t="s">
        <v>231</v>
      </c>
    </row>
    <row r="10" spans="1:19" x14ac:dyDescent="0.25">
      <c r="A10" s="2" t="s">
        <v>136</v>
      </c>
      <c r="B10" s="2">
        <v>6</v>
      </c>
      <c r="C10"/>
      <c r="D10"/>
      <c r="E10"/>
      <c r="F10"/>
      <c r="G10"/>
      <c r="H10" s="2" t="s">
        <v>3</v>
      </c>
      <c r="I10"/>
      <c r="J10"/>
      <c r="K10"/>
      <c r="L10"/>
      <c r="M10" s="14" t="s">
        <v>154</v>
      </c>
      <c r="N10"/>
      <c r="O10"/>
      <c r="P10"/>
      <c r="Q10" s="2" t="s">
        <v>3</v>
      </c>
      <c r="R10" s="2" t="s">
        <v>232</v>
      </c>
    </row>
    <row r="11" spans="1:19" x14ac:dyDescent="0.25">
      <c r="A11" s="2" t="s">
        <v>136</v>
      </c>
      <c r="B11" s="2">
        <v>7</v>
      </c>
      <c r="C11"/>
      <c r="D11"/>
      <c r="E11"/>
      <c r="F11"/>
      <c r="G11"/>
      <c r="H11" s="2" t="s">
        <v>3</v>
      </c>
      <c r="I11"/>
      <c r="J11" s="2">
        <v>1234567890</v>
      </c>
      <c r="K11"/>
      <c r="L11"/>
      <c r="M11"/>
      <c r="N11"/>
      <c r="O11"/>
      <c r="P11"/>
      <c r="Q11" s="2" t="s">
        <v>3</v>
      </c>
      <c r="R11" s="2" t="s">
        <v>233</v>
      </c>
    </row>
    <row r="12" spans="1:19" x14ac:dyDescent="0.25">
      <c r="A12" s="2" t="s">
        <v>136</v>
      </c>
      <c r="B12" s="2">
        <v>8</v>
      </c>
      <c r="C12"/>
      <c r="D12"/>
      <c r="E12"/>
      <c r="F12"/>
      <c r="G12"/>
      <c r="H12" s="2" t="s">
        <v>3</v>
      </c>
      <c r="I12"/>
      <c r="J12"/>
      <c r="K12"/>
      <c r="L12"/>
      <c r="M12"/>
      <c r="N12" s="14">
        <v>12345678</v>
      </c>
      <c r="O12"/>
      <c r="P12"/>
      <c r="Q12" s="2" t="s">
        <v>3</v>
      </c>
      <c r="R12" s="2" t="s">
        <v>234</v>
      </c>
    </row>
    <row r="13" spans="1:19" x14ac:dyDescent="0.25">
      <c r="A13" s="2" t="s">
        <v>136</v>
      </c>
      <c r="B13" s="2">
        <v>9</v>
      </c>
      <c r="C13"/>
      <c r="D13"/>
      <c r="E13"/>
      <c r="F13"/>
      <c r="G13"/>
      <c r="H13" s="2" t="s">
        <v>3</v>
      </c>
      <c r="I13"/>
      <c r="J13"/>
      <c r="K13"/>
      <c r="L13"/>
      <c r="M13"/>
      <c r="N13"/>
      <c r="O13" s="2">
        <v>12345678</v>
      </c>
      <c r="P13"/>
      <c r="Q13" s="2" t="s">
        <v>3</v>
      </c>
      <c r="R13" s="2" t="s">
        <v>209</v>
      </c>
    </row>
    <row r="14" spans="1:19" x14ac:dyDescent="0.25">
      <c r="A14" s="2" t="s">
        <v>136</v>
      </c>
      <c r="B14" s="2">
        <v>9</v>
      </c>
      <c r="C14"/>
      <c r="D14"/>
      <c r="E14"/>
      <c r="F14"/>
      <c r="G14"/>
      <c r="H14" s="2" t="s">
        <v>3</v>
      </c>
      <c r="I14"/>
      <c r="J14"/>
      <c r="K14"/>
      <c r="L14"/>
      <c r="M14"/>
      <c r="N14"/>
      <c r="O14" s="14">
        <v>12345678901</v>
      </c>
      <c r="P14"/>
      <c r="Q14" s="2" t="s">
        <v>3</v>
      </c>
      <c r="R14" s="2" t="s">
        <v>209</v>
      </c>
    </row>
    <row r="15" spans="1:19" x14ac:dyDescent="0.25">
      <c r="A15"/>
      <c r="B15" s="2">
        <v>9</v>
      </c>
      <c r="C15"/>
      <c r="D15"/>
      <c r="E15"/>
      <c r="F15"/>
      <c r="G15"/>
      <c r="H15" s="2" t="s">
        <v>3</v>
      </c>
      <c r="I15"/>
      <c r="J15"/>
      <c r="K15"/>
      <c r="L15"/>
      <c r="M15"/>
      <c r="N15"/>
      <c r="O15" s="14" t="s">
        <v>128</v>
      </c>
      <c r="P15"/>
      <c r="Q15" s="2" t="s">
        <v>3</v>
      </c>
      <c r="R15" s="2" t="s">
        <v>209</v>
      </c>
      <c r="S15" s="15" t="s">
        <v>306</v>
      </c>
    </row>
    <row r="16" spans="1:19" x14ac:dyDescent="0.25">
      <c r="A16" s="2" t="s">
        <v>136</v>
      </c>
      <c r="B16" s="2">
        <v>9</v>
      </c>
      <c r="C16"/>
      <c r="D16"/>
      <c r="E16"/>
      <c r="F16"/>
      <c r="G16"/>
      <c r="H16" s="2" t="s">
        <v>3</v>
      </c>
      <c r="I16"/>
      <c r="J16"/>
      <c r="K16"/>
      <c r="L16"/>
      <c r="M16"/>
      <c r="N16"/>
      <c r="O16" s="14" t="s">
        <v>156</v>
      </c>
      <c r="P16"/>
      <c r="Q16" s="2" t="s">
        <v>3</v>
      </c>
      <c r="R16" s="2" t="s">
        <v>209</v>
      </c>
    </row>
    <row r="17" spans="1:18" x14ac:dyDescent="0.25">
      <c r="A17" s="2" t="s">
        <v>157</v>
      </c>
      <c r="B17" s="2">
        <v>1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 s="2" t="s">
        <v>161</v>
      </c>
    </row>
    <row r="18" spans="1:18" x14ac:dyDescent="0.25">
      <c r="A18" s="2" t="s">
        <v>157</v>
      </c>
      <c r="B18" s="2">
        <v>2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 s="2" t="s">
        <v>162</v>
      </c>
    </row>
    <row r="19" spans="1:18" x14ac:dyDescent="0.25">
      <c r="A19" s="2" t="s">
        <v>172</v>
      </c>
      <c r="B19" s="2">
        <v>1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 s="2" t="s">
        <v>174</v>
      </c>
    </row>
    <row r="20" spans="1:18" x14ac:dyDescent="0.25">
      <c r="A20" s="2" t="s">
        <v>192</v>
      </c>
      <c r="B20" s="2">
        <v>1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 s="27" t="s">
        <v>247</v>
      </c>
    </row>
    <row r="21" spans="1:18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 s="15" t="s">
        <v>203</v>
      </c>
    </row>
    <row r="26" spans="1:18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 s="2" t="s">
        <v>205</v>
      </c>
    </row>
    <row r="27" spans="1:18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 s="2" t="s">
        <v>206</v>
      </c>
    </row>
    <row r="28" spans="1:18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 s="2" t="s">
        <v>207</v>
      </c>
    </row>
    <row r="29" spans="1:18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 s="2" t="s">
        <v>208</v>
      </c>
    </row>
    <row r="30" spans="1:18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 s="2" t="s">
        <v>209</v>
      </c>
    </row>
    <row r="31" spans="1:18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 s="2" t="s">
        <v>209</v>
      </c>
    </row>
    <row r="32" spans="1:18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 s="2" t="s">
        <v>209</v>
      </c>
    </row>
    <row r="33" spans="1:18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 s="2" t="s">
        <v>209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K4"/>
  <sheetViews>
    <sheetView topLeftCell="R1" zoomScale="96" zoomScaleNormal="96" workbookViewId="0">
      <selection activeCell="V2" sqref="V2"/>
    </sheetView>
  </sheetViews>
  <sheetFormatPr defaultRowHeight="15" x14ac:dyDescent="0.25"/>
  <cols>
    <col min="1" max="1" width="7.140625" style="15" bestFit="1" customWidth="1" collapsed="1"/>
    <col min="2" max="2" width="8.7109375" style="15" bestFit="1" customWidth="1" collapsed="1"/>
    <col min="3" max="4" width="16.7109375" style="15" customWidth="1" collapsed="1"/>
    <col min="5" max="5" width="18.140625" style="15" bestFit="1" customWidth="1" collapsed="1"/>
    <col min="6" max="6" width="21.7109375" style="15" bestFit="1" customWidth="1" collapsed="1"/>
    <col min="7" max="7" width="13.140625" style="15" customWidth="1" collapsed="1"/>
    <col min="8" max="8" width="16.7109375" style="15" bestFit="1" customWidth="1" collapsed="1"/>
    <col min="9" max="9" width="19.5703125" style="15" bestFit="1" customWidth="1" collapsed="1"/>
    <col min="10" max="10" width="24.140625" style="15" bestFit="1" customWidth="1" collapsed="1"/>
    <col min="11" max="18" width="24.140625" style="15" customWidth="1" collapsed="1"/>
    <col min="19" max="19" width="24.28515625" style="15" bestFit="1" customWidth="1" collapsed="1"/>
    <col min="20" max="20" width="14.5703125" style="15" bestFit="1" customWidth="1" collapsed="1"/>
    <col min="21" max="21" width="15.5703125" style="15" bestFit="1" customWidth="1" collapsed="1"/>
    <col min="22" max="22" width="15.5703125" style="15" customWidth="1" collapsed="1"/>
    <col min="23" max="24" width="9.85546875" style="15" customWidth="1" collapsed="1"/>
    <col min="25" max="25" width="9.85546875" style="15" bestFit="1" customWidth="1" collapsed="1"/>
    <col min="26" max="26" width="40" style="15" bestFit="1" customWidth="1" collapsed="1"/>
    <col min="27" max="27" width="11.42578125" style="15" bestFit="1" customWidth="1" collapsed="1"/>
    <col min="28" max="28" width="13.42578125" style="15" bestFit="1" customWidth="1" collapsed="1"/>
    <col min="29" max="29" width="16.42578125" style="15" bestFit="1" customWidth="1" collapsed="1"/>
    <col min="30" max="30" width="13.140625" style="15" bestFit="1" customWidth="1" collapsed="1"/>
    <col min="31" max="31" width="13.140625" style="15" customWidth="1" collapsed="1"/>
    <col min="32" max="32" width="17.28515625" style="15" bestFit="1" customWidth="1" collapsed="1"/>
    <col min="33" max="33" width="17.28515625" style="15" customWidth="1" collapsed="1"/>
    <col min="34" max="34" width="22.28515625" style="15" bestFit="1" customWidth="1" collapsed="1"/>
    <col min="35" max="35" width="12.28515625" style="15" bestFit="1" customWidth="1" collapsed="1"/>
    <col min="36" max="36" width="17.28515625" style="15" bestFit="1" customWidth="1" collapsed="1"/>
    <col min="37" max="37" width="84.7109375" style="15" bestFit="1" customWidth="1" collapsed="1"/>
    <col min="38" max="16384" width="9.140625" style="15" collapsed="1"/>
  </cols>
  <sheetData>
    <row r="1" spans="1:37" s="1" customFormat="1" x14ac:dyDescent="0.25">
      <c r="A1" s="9" t="s">
        <v>0</v>
      </c>
      <c r="B1" s="5" t="s">
        <v>18</v>
      </c>
      <c r="C1" s="5" t="s">
        <v>264</v>
      </c>
      <c r="D1" s="5" t="s">
        <v>608</v>
      </c>
      <c r="E1" s="5" t="s">
        <v>265</v>
      </c>
      <c r="F1" s="5" t="s">
        <v>266</v>
      </c>
      <c r="G1" s="9" t="s">
        <v>279</v>
      </c>
      <c r="H1" s="9" t="s">
        <v>280</v>
      </c>
      <c r="I1" s="9" t="s">
        <v>267</v>
      </c>
      <c r="J1" s="61" t="s">
        <v>587</v>
      </c>
      <c r="K1" s="61" t="s">
        <v>589</v>
      </c>
      <c r="L1" s="61" t="s">
        <v>605</v>
      </c>
      <c r="M1" s="61" t="s">
        <v>590</v>
      </c>
      <c r="N1" s="61" t="s">
        <v>606</v>
      </c>
      <c r="O1" s="61" t="s">
        <v>591</v>
      </c>
      <c r="P1" s="61" t="s">
        <v>592</v>
      </c>
      <c r="Q1" s="61" t="s">
        <v>593</v>
      </c>
      <c r="R1" s="61" t="s">
        <v>595</v>
      </c>
      <c r="S1" s="23" t="s">
        <v>268</v>
      </c>
      <c r="T1" s="23" t="s">
        <v>269</v>
      </c>
      <c r="U1" s="9" t="s">
        <v>284</v>
      </c>
      <c r="V1" s="9" t="s">
        <v>1106</v>
      </c>
      <c r="W1" s="9" t="s">
        <v>285</v>
      </c>
      <c r="X1" s="9" t="s">
        <v>287</v>
      </c>
      <c r="Y1" s="9" t="s">
        <v>271</v>
      </c>
      <c r="Z1" s="9" t="s">
        <v>272</v>
      </c>
      <c r="AA1" s="9" t="s">
        <v>290</v>
      </c>
      <c r="AB1" s="9" t="s">
        <v>289</v>
      </c>
      <c r="AC1" s="9" t="s">
        <v>281</v>
      </c>
      <c r="AD1" s="9" t="s">
        <v>274</v>
      </c>
      <c r="AE1" s="9" t="s">
        <v>283</v>
      </c>
      <c r="AF1" s="9" t="s">
        <v>276</v>
      </c>
      <c r="AG1" s="9" t="s">
        <v>282</v>
      </c>
      <c r="AH1" s="9" t="s">
        <v>277</v>
      </c>
      <c r="AI1" s="5" t="s">
        <v>278</v>
      </c>
      <c r="AJ1" s="9" t="s">
        <v>275</v>
      </c>
      <c r="AK1" s="9" t="s">
        <v>273</v>
      </c>
    </row>
    <row r="2" spans="1:37" s="1" customFormat="1" x14ac:dyDescent="0.25">
      <c r="A2" s="2" t="s">
        <v>243</v>
      </c>
      <c r="B2" s="6">
        <v>1</v>
      </c>
      <c r="C2" s="6" t="s">
        <v>3</v>
      </c>
      <c r="D2" s="6" t="s">
        <v>3</v>
      </c>
      <c r="E2" s="6"/>
      <c r="F2" s="6" t="s">
        <v>3</v>
      </c>
      <c r="G2" s="2"/>
      <c r="H2" s="2"/>
      <c r="I2" s="6" t="s">
        <v>586</v>
      </c>
      <c r="J2" s="6" t="s">
        <v>588</v>
      </c>
      <c r="K2" s="6">
        <v>5</v>
      </c>
      <c r="L2" s="6">
        <v>2</v>
      </c>
      <c r="M2" s="6">
        <v>4</v>
      </c>
      <c r="N2" s="6">
        <v>6</v>
      </c>
      <c r="O2" s="6" t="s">
        <v>597</v>
      </c>
      <c r="P2" s="6" t="s">
        <v>597</v>
      </c>
      <c r="Q2" s="6" t="s">
        <v>594</v>
      </c>
      <c r="R2" s="6" t="s">
        <v>594</v>
      </c>
      <c r="S2" s="2" t="s">
        <v>598</v>
      </c>
      <c r="T2" s="2" t="s">
        <v>270</v>
      </c>
      <c r="U2" s="2" t="s">
        <v>3</v>
      </c>
      <c r="V2" s="2" t="s">
        <v>126</v>
      </c>
      <c r="W2" s="2" t="s">
        <v>286</v>
      </c>
      <c r="X2" s="2" t="s">
        <v>239</v>
      </c>
      <c r="Y2" s="2" t="s">
        <v>3</v>
      </c>
      <c r="Z2" s="2" t="s">
        <v>631</v>
      </c>
      <c r="AA2" s="2"/>
      <c r="AB2" s="2"/>
      <c r="AC2" s="2"/>
      <c r="AD2" s="2" t="s">
        <v>3</v>
      </c>
      <c r="AE2" s="2"/>
      <c r="AF2" s="2"/>
      <c r="AG2" s="2"/>
      <c r="AH2" s="2"/>
      <c r="AI2" s="2"/>
      <c r="AJ2" s="2" t="s">
        <v>3</v>
      </c>
      <c r="AK2" s="2"/>
    </row>
    <row r="3" spans="1:37" s="1" customFormat="1" x14ac:dyDescent="0.25">
      <c r="A3" s="2" t="s">
        <v>244</v>
      </c>
      <c r="B3" s="6">
        <v>1</v>
      </c>
      <c r="C3" s="6" t="s">
        <v>3</v>
      </c>
      <c r="D3" s="6" t="s">
        <v>3</v>
      </c>
      <c r="E3" s="6"/>
      <c r="F3" s="6"/>
      <c r="G3" s="2"/>
      <c r="H3" s="2"/>
      <c r="I3" s="6"/>
      <c r="J3" s="6"/>
      <c r="K3" s="6"/>
      <c r="L3" s="6"/>
      <c r="M3" s="6"/>
      <c r="N3" s="6"/>
      <c r="O3" s="6"/>
      <c r="P3" s="6"/>
      <c r="Q3" s="6"/>
      <c r="R3" s="6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 t="s">
        <v>3</v>
      </c>
      <c r="AK3" s="2" t="s">
        <v>612</v>
      </c>
    </row>
    <row r="4" spans="1:37" s="1" customFormat="1" x14ac:dyDescent="0.25">
      <c r="A4" s="2" t="s">
        <v>244</v>
      </c>
      <c r="B4" s="6">
        <v>2</v>
      </c>
      <c r="C4" s="6"/>
      <c r="D4" s="6"/>
      <c r="E4" s="6"/>
      <c r="F4" s="6"/>
      <c r="G4" s="2"/>
      <c r="H4" s="2"/>
      <c r="I4" s="6"/>
      <c r="J4" s="6"/>
      <c r="K4" s="6"/>
      <c r="L4" s="6"/>
      <c r="M4" s="6"/>
      <c r="N4" s="6"/>
      <c r="O4" s="6"/>
      <c r="P4" s="6"/>
      <c r="Q4" s="6"/>
      <c r="R4" s="6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 t="s">
        <v>3</v>
      </c>
      <c r="AJ4" s="2"/>
      <c r="AK4" s="2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G10"/>
  <sheetViews>
    <sheetView zoomScale="85" zoomScaleNormal="85" workbookViewId="0">
      <selection activeCell="A8" sqref="A8"/>
    </sheetView>
  </sheetViews>
  <sheetFormatPr defaultRowHeight="15" x14ac:dyDescent="0.25"/>
  <cols>
    <col min="1" max="1" width="7.140625" style="15" bestFit="1" customWidth="1" collapsed="1"/>
    <col min="2" max="2" width="8.7109375" style="15" bestFit="1" customWidth="1" collapsed="1"/>
    <col min="3" max="3" width="10.42578125" style="15" bestFit="1" customWidth="1" collapsed="1"/>
    <col min="4" max="4" width="19.42578125" style="15" bestFit="1" customWidth="1" collapsed="1"/>
    <col min="5" max="5" width="14.85546875" style="15" bestFit="1" customWidth="1" collapsed="1"/>
    <col min="6" max="6" width="19.42578125" style="15" bestFit="1" customWidth="1" collapsed="1"/>
    <col min="7" max="7" width="19.5703125" style="15" bestFit="1" customWidth="1" collapsed="1"/>
    <col min="8" max="8" width="12.5703125" style="15" bestFit="1" customWidth="1" collapsed="1"/>
    <col min="9" max="9" width="16" style="15" bestFit="1" customWidth="1" collapsed="1"/>
    <col min="10" max="10" width="10.85546875" style="15" bestFit="1" customWidth="1" collapsed="1"/>
    <col min="11" max="11" width="10.85546875" style="15" customWidth="1" collapsed="1"/>
    <col min="12" max="12" width="11" style="15" bestFit="1" customWidth="1" collapsed="1"/>
    <col min="13" max="13" width="11.85546875" style="15" bestFit="1" customWidth="1" collapsed="1"/>
    <col min="14" max="25" width="11.85546875" style="15" customWidth="1" collapsed="1"/>
    <col min="26" max="26" width="13.28515625" style="15" bestFit="1" customWidth="1" collapsed="1"/>
    <col min="27" max="30" width="13.28515625" style="15" customWidth="1" collapsed="1"/>
    <col min="31" max="31" width="19" style="15" bestFit="1" customWidth="1" collapsed="1"/>
    <col min="32" max="32" width="13.28515625" style="15" customWidth="1" collapsed="1"/>
    <col min="33" max="33" width="27.140625" style="15" bestFit="1" customWidth="1" collapsed="1"/>
    <col min="34" max="16384" width="9.140625" style="15" collapsed="1"/>
  </cols>
  <sheetData>
    <row r="1" spans="1:33" x14ac:dyDescent="0.25">
      <c r="A1" s="4" t="s">
        <v>0</v>
      </c>
      <c r="B1" s="5" t="s">
        <v>18</v>
      </c>
      <c r="C1" s="5" t="s">
        <v>69</v>
      </c>
      <c r="D1" s="5" t="s">
        <v>565</v>
      </c>
      <c r="E1" s="5" t="s">
        <v>235</v>
      </c>
      <c r="F1" s="5" t="s">
        <v>559</v>
      </c>
      <c r="G1" s="5" t="s">
        <v>559</v>
      </c>
      <c r="H1" s="5" t="s">
        <v>236</v>
      </c>
      <c r="I1" s="5" t="s">
        <v>237</v>
      </c>
      <c r="J1" s="5" t="s">
        <v>254</v>
      </c>
      <c r="K1" s="5" t="s">
        <v>255</v>
      </c>
      <c r="L1" s="5" t="s">
        <v>259</v>
      </c>
      <c r="M1" s="5" t="s">
        <v>260</v>
      </c>
      <c r="N1" s="5" t="s">
        <v>335</v>
      </c>
      <c r="O1" s="5" t="s">
        <v>336</v>
      </c>
      <c r="P1" s="5" t="s">
        <v>341</v>
      </c>
      <c r="Q1" s="5" t="s">
        <v>337</v>
      </c>
      <c r="R1" s="5" t="s">
        <v>339</v>
      </c>
      <c r="S1" s="5" t="s">
        <v>338</v>
      </c>
      <c r="T1" s="5" t="s">
        <v>342</v>
      </c>
      <c r="U1" s="5" t="s">
        <v>353</v>
      </c>
      <c r="V1" s="5" t="s">
        <v>349</v>
      </c>
      <c r="W1" s="5" t="s">
        <v>350</v>
      </c>
      <c r="X1" s="5" t="s">
        <v>351</v>
      </c>
      <c r="Y1" s="5" t="s">
        <v>352</v>
      </c>
      <c r="Z1" s="5" t="s">
        <v>238</v>
      </c>
      <c r="AA1" s="5" t="s">
        <v>253</v>
      </c>
      <c r="AB1" s="5" t="s">
        <v>262</v>
      </c>
      <c r="AC1" s="5" t="s">
        <v>252</v>
      </c>
      <c r="AD1" s="5" t="s">
        <v>261</v>
      </c>
      <c r="AE1" s="5" t="s">
        <v>263</v>
      </c>
      <c r="AF1" s="5" t="s">
        <v>236</v>
      </c>
      <c r="AG1" s="5" t="s">
        <v>550</v>
      </c>
    </row>
    <row r="2" spans="1:33" x14ac:dyDescent="0.25">
      <c r="A2" s="4" t="s">
        <v>134</v>
      </c>
      <c r="B2" s="2">
        <v>1</v>
      </c>
      <c r="C2" s="2" t="s">
        <v>3</v>
      </c>
      <c r="D2" s="2"/>
      <c r="E2" s="2" t="s">
        <v>3</v>
      </c>
      <c r="F2" s="2" t="s">
        <v>832</v>
      </c>
      <c r="G2" s="2" t="s">
        <v>770</v>
      </c>
      <c r="H2" s="5"/>
      <c r="I2" s="5"/>
      <c r="J2" s="5"/>
      <c r="K2" s="5"/>
      <c r="L2" s="2" t="s">
        <v>239</v>
      </c>
      <c r="M2" s="2" t="s">
        <v>240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33" t="s">
        <v>3</v>
      </c>
      <c r="AA2" s="5"/>
      <c r="AB2" s="5"/>
      <c r="AC2" s="5"/>
      <c r="AD2" s="5"/>
      <c r="AE2" s="5"/>
      <c r="AF2" s="5"/>
      <c r="AG2" s="5"/>
    </row>
    <row r="3" spans="1:33" x14ac:dyDescent="0.25">
      <c r="A3" s="2" t="s">
        <v>135</v>
      </c>
      <c r="B3" s="2">
        <v>1</v>
      </c>
      <c r="C3" s="2" t="s">
        <v>3</v>
      </c>
      <c r="D3" s="2" t="s">
        <v>3</v>
      </c>
      <c r="E3" s="2"/>
      <c r="F3" s="2" t="s">
        <v>832</v>
      </c>
      <c r="G3" s="2" t="s">
        <v>770</v>
      </c>
      <c r="H3" s="2"/>
      <c r="I3" s="2"/>
      <c r="J3" s="2"/>
      <c r="K3" s="2"/>
      <c r="L3" s="2" t="s">
        <v>239</v>
      </c>
      <c r="M3" s="2" t="s">
        <v>240</v>
      </c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 t="s">
        <v>3</v>
      </c>
      <c r="AA3" s="2"/>
      <c r="AB3" s="2"/>
      <c r="AC3" s="2"/>
      <c r="AD3" s="2"/>
      <c r="AE3" s="2"/>
      <c r="AF3" s="2"/>
      <c r="AG3" s="2"/>
    </row>
    <row r="4" spans="1:33" x14ac:dyDescent="0.25">
      <c r="A4" s="2" t="s">
        <v>136</v>
      </c>
      <c r="B4" s="2">
        <v>1</v>
      </c>
      <c r="C4" s="2" t="s">
        <v>3</v>
      </c>
      <c r="D4" s="2" t="s">
        <v>3</v>
      </c>
      <c r="E4" s="2"/>
      <c r="F4" s="2" t="s">
        <v>574</v>
      </c>
      <c r="G4" s="2" t="s">
        <v>575</v>
      </c>
      <c r="H4" s="2"/>
      <c r="I4" s="2"/>
      <c r="J4" s="2"/>
      <c r="K4" s="2"/>
      <c r="L4" s="2" t="s">
        <v>239</v>
      </c>
      <c r="M4" s="2" t="s">
        <v>240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 t="s">
        <v>3</v>
      </c>
      <c r="AA4" s="2"/>
      <c r="AB4" s="2"/>
      <c r="AC4" s="2"/>
      <c r="AD4" s="2"/>
      <c r="AE4" s="2"/>
      <c r="AF4" s="2"/>
      <c r="AG4" s="2"/>
    </row>
    <row r="5" spans="1:33" x14ac:dyDescent="0.25">
      <c r="A5" s="2" t="s">
        <v>157</v>
      </c>
      <c r="B5" s="2">
        <v>1</v>
      </c>
      <c r="C5" s="2" t="s">
        <v>3</v>
      </c>
      <c r="D5" s="2" t="s">
        <v>3</v>
      </c>
      <c r="E5" s="2"/>
      <c r="F5" s="2" t="s">
        <v>577</v>
      </c>
      <c r="G5" s="31" t="s">
        <v>1277</v>
      </c>
      <c r="H5" s="2"/>
      <c r="I5" s="2"/>
      <c r="J5" s="2"/>
      <c r="K5" s="2"/>
      <c r="L5" s="2" t="s">
        <v>239</v>
      </c>
      <c r="M5" s="2" t="s">
        <v>240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 t="s">
        <v>3</v>
      </c>
      <c r="AA5" s="2"/>
      <c r="AB5" s="2"/>
      <c r="AC5" s="2"/>
      <c r="AD5" s="2"/>
      <c r="AE5" s="2"/>
      <c r="AF5" s="2"/>
      <c r="AG5" s="2"/>
    </row>
    <row r="6" spans="1:33" x14ac:dyDescent="0.25">
      <c r="A6" s="2" t="s">
        <v>172</v>
      </c>
      <c r="B6" s="2">
        <v>1</v>
      </c>
      <c r="C6" s="2" t="s">
        <v>3</v>
      </c>
      <c r="D6" s="2" t="s">
        <v>3</v>
      </c>
      <c r="E6" s="2"/>
      <c r="F6" s="2" t="s">
        <v>239</v>
      </c>
      <c r="G6" s="2" t="s">
        <v>586</v>
      </c>
      <c r="H6" s="2"/>
      <c r="I6" s="2"/>
      <c r="J6" s="2"/>
      <c r="K6" s="2"/>
      <c r="L6" s="2" t="s">
        <v>288</v>
      </c>
      <c r="M6" s="2" t="s">
        <v>240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 t="s">
        <v>3</v>
      </c>
      <c r="AA6" s="2"/>
      <c r="AB6" s="2"/>
      <c r="AC6" s="2"/>
      <c r="AD6" s="2"/>
      <c r="AE6" s="2"/>
      <c r="AF6" s="2"/>
      <c r="AG6" s="2"/>
    </row>
    <row r="7" spans="1:33" x14ac:dyDescent="0.25">
      <c r="A7" s="2" t="s">
        <v>256</v>
      </c>
      <c r="B7" s="2">
        <v>1</v>
      </c>
      <c r="C7" s="2" t="s">
        <v>3</v>
      </c>
      <c r="D7" s="2" t="s">
        <v>3</v>
      </c>
      <c r="E7" s="2"/>
      <c r="F7" s="2" t="s">
        <v>832</v>
      </c>
      <c r="G7" s="2" t="s">
        <v>770</v>
      </c>
      <c r="H7" s="2"/>
      <c r="I7" s="2"/>
      <c r="J7" s="2"/>
      <c r="K7" s="2"/>
      <c r="L7" s="2" t="s">
        <v>239</v>
      </c>
      <c r="M7" s="2" t="s">
        <v>240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 t="s">
        <v>3</v>
      </c>
      <c r="AA7" s="2"/>
      <c r="AB7" s="2"/>
      <c r="AC7" s="2"/>
      <c r="AD7" s="2"/>
      <c r="AE7" s="2"/>
      <c r="AF7" s="2"/>
      <c r="AG7" s="2"/>
    </row>
    <row r="8" spans="1:33" x14ac:dyDescent="0.25">
      <c r="A8" s="2" t="s">
        <v>185</v>
      </c>
      <c r="B8" s="2">
        <v>1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 t="s">
        <v>308</v>
      </c>
      <c r="AB8" s="2"/>
      <c r="AC8" s="2" t="s">
        <v>308</v>
      </c>
      <c r="AD8" s="2"/>
      <c r="AE8" s="2"/>
      <c r="AF8" s="2"/>
      <c r="AG8" s="2"/>
    </row>
    <row r="9" spans="1:33" x14ac:dyDescent="0.25">
      <c r="A9" s="2" t="s">
        <v>1110</v>
      </c>
      <c r="B9" s="2">
        <v>2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 t="s">
        <v>3</v>
      </c>
      <c r="AA9" s="2"/>
      <c r="AB9" s="2"/>
      <c r="AC9" s="2"/>
      <c r="AD9" s="2"/>
      <c r="AE9" s="2"/>
      <c r="AF9" s="2"/>
      <c r="AG9" s="2"/>
    </row>
    <row r="10" spans="1:33" x14ac:dyDescent="0.25">
      <c r="A10" s="2" t="s">
        <v>773</v>
      </c>
      <c r="B10" s="2">
        <v>1</v>
      </c>
      <c r="C10" s="2" t="s">
        <v>3</v>
      </c>
      <c r="D10" s="2" t="s">
        <v>3</v>
      </c>
      <c r="E10" s="2"/>
      <c r="F10" s="2" t="s">
        <v>832</v>
      </c>
      <c r="G10" s="2" t="s">
        <v>770</v>
      </c>
      <c r="H10" s="2"/>
      <c r="I10" s="2"/>
      <c r="J10" s="2"/>
      <c r="K10" s="2"/>
      <c r="L10" s="2" t="s">
        <v>239</v>
      </c>
      <c r="M10" s="2" t="s">
        <v>240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 t="s">
        <v>3</v>
      </c>
      <c r="AA10" s="2"/>
      <c r="AB10" s="2"/>
      <c r="AC10" s="2"/>
      <c r="AD10" s="2"/>
      <c r="AE10" s="2"/>
      <c r="AF10" s="2"/>
      <c r="AG10" s="2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I34"/>
  <sheetViews>
    <sheetView topLeftCell="F16" zoomScale="85" zoomScaleNormal="85" workbookViewId="0">
      <selection activeCell="Q34" sqref="Q34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9" width="17.28515625" style="1" customWidth="1" collapsed="1"/>
    <col min="40" max="40" width="26.85546875" style="1" bestFit="1" customWidth="1" collapsed="1"/>
    <col min="41" max="55" width="17.28515625" style="1" customWidth="1" collapsed="1"/>
    <col min="56" max="56" width="16" style="1" customWidth="1" collapsed="1"/>
    <col min="57" max="57" width="13.7109375" style="1" bestFit="1" customWidth="1" collapsed="1"/>
    <col min="58" max="16384" width="9.140625" style="1" collapsed="1"/>
  </cols>
  <sheetData>
    <row r="1" spans="1:87" x14ac:dyDescent="0.25">
      <c r="A1" s="70" t="s">
        <v>0</v>
      </c>
      <c r="B1" s="69" t="s">
        <v>18</v>
      </c>
      <c r="C1" s="69" t="s">
        <v>833</v>
      </c>
      <c r="D1" s="69" t="s">
        <v>834</v>
      </c>
      <c r="E1" s="69" t="s">
        <v>1193</v>
      </c>
      <c r="F1" s="69" t="s">
        <v>1194</v>
      </c>
      <c r="G1" s="69" t="s">
        <v>1195</v>
      </c>
      <c r="H1" s="69" t="s">
        <v>1196</v>
      </c>
      <c r="I1" s="69" t="s">
        <v>1197</v>
      </c>
      <c r="J1" s="69" t="s">
        <v>1198</v>
      </c>
      <c r="K1" s="69" t="s">
        <v>835</v>
      </c>
      <c r="L1" s="69" t="s">
        <v>836</v>
      </c>
      <c r="M1" s="5" t="s">
        <v>805</v>
      </c>
      <c r="N1" s="69" t="s">
        <v>1199</v>
      </c>
      <c r="O1" s="69" t="s">
        <v>1448</v>
      </c>
      <c r="P1" s="69" t="s">
        <v>1449</v>
      </c>
      <c r="Q1" s="69" t="s">
        <v>1200</v>
      </c>
      <c r="R1" s="69" t="s">
        <v>1201</v>
      </c>
      <c r="S1" s="69" t="s">
        <v>1202</v>
      </c>
      <c r="T1" s="69" t="s">
        <v>1203</v>
      </c>
      <c r="U1" s="5" t="s">
        <v>1276</v>
      </c>
      <c r="V1" s="5" t="s">
        <v>76</v>
      </c>
      <c r="W1" s="69" t="s">
        <v>1204</v>
      </c>
      <c r="X1" s="69" t="s">
        <v>1205</v>
      </c>
      <c r="Y1" s="69" t="s">
        <v>1206</v>
      </c>
      <c r="Z1" s="69" t="s">
        <v>1207</v>
      </c>
      <c r="AA1" s="69" t="s">
        <v>1205</v>
      </c>
      <c r="AB1" s="69" t="s">
        <v>1206</v>
      </c>
      <c r="AC1" s="69" t="s">
        <v>1208</v>
      </c>
      <c r="AD1" s="69" t="s">
        <v>1209</v>
      </c>
      <c r="AE1" s="69" t="s">
        <v>1210</v>
      </c>
      <c r="AF1" s="69" t="s">
        <v>1211</v>
      </c>
      <c r="AG1" s="69" t="s">
        <v>1198</v>
      </c>
      <c r="AH1" s="69" t="s">
        <v>1212</v>
      </c>
      <c r="AI1" s="69" t="s">
        <v>1213</v>
      </c>
      <c r="AJ1" s="69" t="s">
        <v>1214</v>
      </c>
      <c r="AK1" s="69" t="s">
        <v>1215</v>
      </c>
      <c r="AL1" s="69" t="s">
        <v>1216</v>
      </c>
      <c r="AM1" s="69" t="s">
        <v>1217</v>
      </c>
      <c r="AN1" s="69" t="s">
        <v>1568</v>
      </c>
      <c r="AO1" s="69" t="s">
        <v>835</v>
      </c>
      <c r="AP1" s="69" t="s">
        <v>836</v>
      </c>
      <c r="AQ1" s="69" t="s">
        <v>1218</v>
      </c>
      <c r="AR1" s="5" t="s">
        <v>837</v>
      </c>
      <c r="AS1" s="5" t="s">
        <v>838</v>
      </c>
      <c r="AT1" s="5" t="s">
        <v>1219</v>
      </c>
      <c r="AU1" s="5" t="s">
        <v>1431</v>
      </c>
      <c r="AV1" s="5" t="s">
        <v>1488</v>
      </c>
      <c r="AW1" s="5" t="s">
        <v>1489</v>
      </c>
      <c r="AX1" s="5" t="s">
        <v>1490</v>
      </c>
      <c r="AY1" s="5" t="s">
        <v>1492</v>
      </c>
      <c r="AZ1" s="5" t="s">
        <v>1493</v>
      </c>
      <c r="BA1" s="5" t="s">
        <v>1494</v>
      </c>
      <c r="BB1" s="5" t="s">
        <v>1495</v>
      </c>
      <c r="BC1" s="5" t="s">
        <v>805</v>
      </c>
      <c r="BD1" s="5" t="s">
        <v>71</v>
      </c>
      <c r="BE1" s="9" t="s">
        <v>78</v>
      </c>
    </row>
    <row r="2" spans="1:87" x14ac:dyDescent="0.25">
      <c r="A2" s="2" t="s">
        <v>135</v>
      </c>
      <c r="B2" s="6">
        <v>1</v>
      </c>
      <c r="C2" t="s">
        <v>3</v>
      </c>
      <c r="D2" s="2" t="s">
        <v>839</v>
      </c>
      <c r="E2" s="2"/>
      <c r="F2" s="2"/>
      <c r="G2" s="2"/>
      <c r="H2" s="2"/>
      <c r="I2" s="2"/>
      <c r="J2" s="73" t="s">
        <v>785</v>
      </c>
      <c r="K2" s="2" t="s">
        <v>3</v>
      </c>
      <c r="L2" s="2" t="s">
        <v>3</v>
      </c>
      <c r="M2" s="14" t="s">
        <v>1281</v>
      </c>
      <c r="N2" s="73" t="s">
        <v>961</v>
      </c>
      <c r="O2" s="73"/>
      <c r="P2" s="73"/>
      <c r="Q2" s="2"/>
      <c r="R2" s="2"/>
      <c r="S2" s="67" t="s">
        <v>1183</v>
      </c>
      <c r="T2" s="67" t="s">
        <v>1184</v>
      </c>
      <c r="U2" s="2" t="s">
        <v>3</v>
      </c>
      <c r="V2" s="2" t="s">
        <v>3</v>
      </c>
      <c r="W2" s="73"/>
      <c r="X2" s="73"/>
      <c r="Y2" s="73"/>
      <c r="Z2" s="73" t="s">
        <v>3</v>
      </c>
      <c r="AA2" s="73" t="s">
        <v>3</v>
      </c>
      <c r="AB2" s="73" t="s">
        <v>3</v>
      </c>
      <c r="AC2" s="2"/>
      <c r="AD2" s="73" t="s">
        <v>1185</v>
      </c>
      <c r="AE2" s="67" t="s">
        <v>1186</v>
      </c>
      <c r="AF2" s="67" t="s">
        <v>1275</v>
      </c>
      <c r="AH2" s="67" t="s">
        <v>1188</v>
      </c>
      <c r="AI2" s="2"/>
      <c r="AJ2" s="2"/>
      <c r="AK2" s="2"/>
      <c r="AL2" s="2"/>
      <c r="AP2" s="2" t="s">
        <v>3</v>
      </c>
      <c r="AQ2" s="2"/>
      <c r="AR2" s="2"/>
      <c r="AS2" s="14"/>
      <c r="AT2" s="2"/>
      <c r="AU2" s="2"/>
      <c r="AV2" s="2"/>
      <c r="AW2" s="2"/>
      <c r="AX2" s="2"/>
      <c r="AY2" s="2"/>
      <c r="AZ2" s="2"/>
      <c r="BA2" s="2"/>
      <c r="BB2" s="2"/>
      <c r="BC2" s="14"/>
      <c r="BD2"/>
    </row>
    <row r="3" spans="1:87" x14ac:dyDescent="0.25">
      <c r="A3" s="2" t="s">
        <v>136</v>
      </c>
      <c r="B3" s="6">
        <v>1</v>
      </c>
      <c r="C3"/>
      <c r="D3" s="2" t="s">
        <v>839</v>
      </c>
      <c r="E3" s="2"/>
      <c r="F3" s="2"/>
      <c r="G3" s="2"/>
      <c r="H3" s="2"/>
      <c r="I3" s="2"/>
      <c r="J3" s="2"/>
      <c r="K3" s="2" t="s">
        <v>3</v>
      </c>
      <c r="L3" s="2" t="s">
        <v>3</v>
      </c>
      <c r="M3" s="14" t="s">
        <v>1281</v>
      </c>
      <c r="N3" s="73" t="s">
        <v>961</v>
      </c>
      <c r="O3" s="73"/>
      <c r="P3" s="73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14" t="s">
        <v>3</v>
      </c>
      <c r="BE3" t="s">
        <v>769</v>
      </c>
    </row>
    <row r="4" spans="1:87" x14ac:dyDescent="0.25">
      <c r="A4" s="2" t="s">
        <v>157</v>
      </c>
      <c r="B4" s="6">
        <v>1</v>
      </c>
      <c r="C4" t="s">
        <v>3</v>
      </c>
      <c r="D4" s="2" t="s">
        <v>839</v>
      </c>
      <c r="E4" s="2"/>
      <c r="F4" s="2"/>
      <c r="G4" s="2"/>
      <c r="H4" s="2"/>
      <c r="I4" s="2"/>
      <c r="J4" s="73" t="s">
        <v>785</v>
      </c>
      <c r="K4" s="2" t="s">
        <v>3</v>
      </c>
      <c r="L4" s="2" t="s">
        <v>3</v>
      </c>
      <c r="M4" s="14" t="s">
        <v>1281</v>
      </c>
      <c r="N4" s="73" t="s">
        <v>961</v>
      </c>
      <c r="O4" s="73"/>
      <c r="P4" s="73"/>
      <c r="Q4" s="2"/>
      <c r="R4" s="2"/>
      <c r="S4" s="67" t="s">
        <v>1183</v>
      </c>
      <c r="T4" s="67" t="s">
        <v>1184</v>
      </c>
      <c r="U4" s="2" t="s">
        <v>3</v>
      </c>
      <c r="V4" s="2" t="s">
        <v>3</v>
      </c>
      <c r="W4" s="73"/>
      <c r="X4" s="73"/>
      <c r="Y4" s="73"/>
      <c r="Z4" s="73" t="s">
        <v>3</v>
      </c>
      <c r="AA4" s="73" t="s">
        <v>3</v>
      </c>
      <c r="AB4" s="73" t="s">
        <v>3</v>
      </c>
      <c r="AC4" s="2"/>
      <c r="AD4" s="73" t="s">
        <v>1185</v>
      </c>
      <c r="AE4" s="67" t="s">
        <v>1186</v>
      </c>
      <c r="AF4" s="67" t="s">
        <v>1275</v>
      </c>
      <c r="AH4" s="67" t="s">
        <v>1188</v>
      </c>
      <c r="AI4" s="2"/>
      <c r="AJ4" s="2"/>
      <c r="AK4" s="2"/>
      <c r="AL4" s="2"/>
      <c r="AP4" s="2" t="s">
        <v>3</v>
      </c>
      <c r="AQ4" s="2"/>
      <c r="AR4" s="2"/>
      <c r="AS4" s="14"/>
      <c r="AT4" s="2"/>
      <c r="AU4" s="2"/>
      <c r="AV4" s="2"/>
      <c r="AW4" s="2"/>
      <c r="AX4" s="2"/>
      <c r="AY4" s="2"/>
      <c r="AZ4" s="2"/>
      <c r="BA4" s="2"/>
      <c r="BB4" s="2"/>
      <c r="BC4" s="14"/>
      <c r="BD4"/>
    </row>
    <row r="5" spans="1:87" x14ac:dyDescent="0.25">
      <c r="A5" s="2" t="s">
        <v>172</v>
      </c>
      <c r="B5" s="6">
        <v>1</v>
      </c>
      <c r="C5" t="s">
        <v>3</v>
      </c>
      <c r="D5" s="2" t="s">
        <v>839</v>
      </c>
      <c r="E5" s="2"/>
      <c r="F5" s="2"/>
      <c r="G5" s="2"/>
      <c r="H5" s="2"/>
      <c r="I5" s="2"/>
      <c r="J5" s="73" t="s">
        <v>785</v>
      </c>
      <c r="K5" s="2" t="s">
        <v>3</v>
      </c>
      <c r="L5" s="2" t="s">
        <v>3</v>
      </c>
      <c r="M5" s="14" t="s">
        <v>1281</v>
      </c>
      <c r="N5" s="73" t="s">
        <v>961</v>
      </c>
      <c r="O5" s="73"/>
      <c r="P5" s="73"/>
      <c r="Q5" s="2"/>
      <c r="R5" s="2"/>
      <c r="S5" s="67" t="s">
        <v>1183</v>
      </c>
      <c r="T5" s="67" t="s">
        <v>1184</v>
      </c>
      <c r="U5" s="2" t="s">
        <v>3</v>
      </c>
      <c r="V5" s="2" t="s">
        <v>3</v>
      </c>
      <c r="W5" s="73"/>
      <c r="X5" s="73"/>
      <c r="Y5" s="73"/>
      <c r="Z5" s="73" t="s">
        <v>3</v>
      </c>
      <c r="AA5" s="73" t="s">
        <v>3</v>
      </c>
      <c r="AB5" s="73" t="s">
        <v>3</v>
      </c>
      <c r="AC5" s="2"/>
      <c r="AD5" s="73" t="s">
        <v>1185</v>
      </c>
      <c r="AE5" s="67" t="s">
        <v>1186</v>
      </c>
      <c r="AF5" s="67" t="s">
        <v>1275</v>
      </c>
      <c r="AH5" s="67" t="s">
        <v>1188</v>
      </c>
      <c r="AI5" s="2"/>
      <c r="AJ5" s="2"/>
      <c r="AK5" s="2"/>
      <c r="AL5" s="2"/>
      <c r="AP5" s="2" t="s">
        <v>3</v>
      </c>
      <c r="AQ5" s="2"/>
      <c r="AR5" s="2"/>
      <c r="AS5" s="14"/>
      <c r="AT5" s="2"/>
      <c r="AU5" s="2"/>
      <c r="AV5" s="2"/>
      <c r="AW5" s="2"/>
      <c r="AX5" s="2"/>
      <c r="AY5" s="2"/>
      <c r="AZ5" s="2"/>
      <c r="BA5" s="2"/>
      <c r="BB5" s="2"/>
      <c r="BC5" s="14"/>
      <c r="BD5"/>
    </row>
    <row r="6" spans="1:87" x14ac:dyDescent="0.25">
      <c r="A6" s="2" t="s">
        <v>249</v>
      </c>
      <c r="B6" s="6">
        <v>1</v>
      </c>
      <c r="C6" t="s">
        <v>3</v>
      </c>
      <c r="D6" s="2" t="s">
        <v>1280</v>
      </c>
      <c r="E6" s="2"/>
      <c r="F6" s="2"/>
      <c r="G6" s="2"/>
      <c r="H6" s="2"/>
      <c r="I6" s="2"/>
      <c r="J6" s="2"/>
      <c r="K6" s="2" t="s">
        <v>3</v>
      </c>
      <c r="L6" s="2" t="s">
        <v>3</v>
      </c>
      <c r="M6" s="2" t="s">
        <v>1281</v>
      </c>
      <c r="N6" s="73" t="s">
        <v>961</v>
      </c>
      <c r="O6" s="73"/>
      <c r="P6" s="73"/>
      <c r="Q6" s="2"/>
      <c r="R6" s="2"/>
      <c r="S6" s="2"/>
      <c r="T6" s="2"/>
      <c r="U6" s="2" t="s">
        <v>3</v>
      </c>
      <c r="V6" s="2" t="s">
        <v>3</v>
      </c>
      <c r="W6" s="2"/>
      <c r="X6" s="2"/>
      <c r="Y6" s="2"/>
      <c r="Z6" s="2"/>
      <c r="AA6" s="2"/>
      <c r="AB6" s="2"/>
      <c r="AC6" s="2"/>
      <c r="AD6" s="2"/>
      <c r="AE6" s="67" t="s">
        <v>1186</v>
      </c>
      <c r="AF6" s="67" t="s">
        <v>1275</v>
      </c>
      <c r="AG6" s="2"/>
      <c r="AH6" s="2"/>
      <c r="AI6" s="2"/>
      <c r="AJ6" s="2"/>
      <c r="AK6" s="2"/>
      <c r="AL6" s="2"/>
      <c r="AM6" s="2"/>
      <c r="AN6" s="2"/>
      <c r="AO6" s="2"/>
      <c r="AP6" s="2"/>
      <c r="AQ6" s="14" t="s">
        <v>358</v>
      </c>
      <c r="AR6" s="2"/>
      <c r="AS6" s="2"/>
      <c r="AT6" s="14" t="s">
        <v>3</v>
      </c>
      <c r="AU6" s="14"/>
      <c r="AV6" s="14"/>
      <c r="AW6" s="14"/>
      <c r="AX6" s="14"/>
      <c r="AY6" s="14"/>
      <c r="AZ6" s="14"/>
      <c r="BA6" s="14"/>
      <c r="BB6" s="14"/>
      <c r="BC6" s="2" t="s">
        <v>1274</v>
      </c>
      <c r="BD6" s="14" t="s">
        <v>3</v>
      </c>
      <c r="BE6" t="s">
        <v>1365</v>
      </c>
    </row>
    <row r="7" spans="1:87" x14ac:dyDescent="0.25">
      <c r="A7" s="2" t="s">
        <v>256</v>
      </c>
      <c r="B7" s="6">
        <v>1</v>
      </c>
      <c r="C7" t="s">
        <v>3</v>
      </c>
      <c r="D7" s="2" t="s">
        <v>1280</v>
      </c>
      <c r="E7" s="2"/>
      <c r="F7" s="2"/>
      <c r="G7" s="2"/>
      <c r="H7" s="2"/>
      <c r="I7" s="2"/>
      <c r="J7" s="2"/>
      <c r="K7" s="2" t="s">
        <v>3</v>
      </c>
      <c r="L7" s="2" t="s">
        <v>3</v>
      </c>
      <c r="M7" s="2" t="s">
        <v>1281</v>
      </c>
      <c r="N7" s="73" t="s">
        <v>961</v>
      </c>
      <c r="O7" s="73"/>
      <c r="P7" s="73"/>
      <c r="Q7" s="2"/>
      <c r="R7" s="2"/>
      <c r="S7" s="2"/>
      <c r="T7" s="2"/>
      <c r="U7" s="2" t="s">
        <v>3</v>
      </c>
      <c r="V7" s="2" t="s">
        <v>3</v>
      </c>
      <c r="W7" s="2"/>
      <c r="X7" s="2"/>
      <c r="Y7" s="2"/>
      <c r="Z7" s="2"/>
      <c r="AA7" s="2"/>
      <c r="AB7" s="2"/>
      <c r="AC7" s="2"/>
      <c r="AD7" s="2"/>
      <c r="AE7" s="67" t="s">
        <v>1186</v>
      </c>
      <c r="AF7" s="67" t="s">
        <v>1275</v>
      </c>
      <c r="AG7" s="2"/>
      <c r="AH7" s="2"/>
      <c r="AI7" s="2"/>
      <c r="AJ7" s="2"/>
      <c r="AK7" s="2"/>
      <c r="AL7" s="2"/>
      <c r="AM7" s="2"/>
      <c r="AN7" s="2"/>
      <c r="AO7" s="2"/>
      <c r="AP7" s="2"/>
      <c r="AQ7" s="14" t="s">
        <v>358</v>
      </c>
      <c r="AR7" s="2"/>
      <c r="AS7" s="2"/>
      <c r="AT7" s="14" t="s">
        <v>3</v>
      </c>
      <c r="AU7" s="14"/>
      <c r="AV7" s="14"/>
      <c r="AW7" s="14"/>
      <c r="AX7" s="14"/>
      <c r="AY7" s="14"/>
      <c r="AZ7" s="14"/>
      <c r="BA7" s="14"/>
      <c r="BB7" s="14"/>
      <c r="BC7" s="2" t="s">
        <v>1274</v>
      </c>
      <c r="BD7" s="14" t="s">
        <v>3</v>
      </c>
      <c r="BE7" t="s">
        <v>1366</v>
      </c>
    </row>
    <row r="8" spans="1:87" x14ac:dyDescent="0.25">
      <c r="A8" s="73" t="s">
        <v>1122</v>
      </c>
      <c r="B8" s="74">
        <v>1</v>
      </c>
      <c r="C8" s="72"/>
      <c r="D8" s="73" t="s">
        <v>1181</v>
      </c>
      <c r="E8" s="73"/>
      <c r="F8" s="73" t="s">
        <v>3</v>
      </c>
      <c r="G8" s="73" t="s">
        <v>3</v>
      </c>
      <c r="H8" s="73" t="s">
        <v>3</v>
      </c>
      <c r="I8" s="73" t="s">
        <v>1182</v>
      </c>
      <c r="J8" s="73" t="s">
        <v>785</v>
      </c>
      <c r="K8" s="73" t="s">
        <v>3</v>
      </c>
      <c r="L8" s="73"/>
      <c r="M8" s="73"/>
      <c r="N8" s="73" t="s">
        <v>961</v>
      </c>
      <c r="O8" s="73"/>
      <c r="P8" s="73"/>
      <c r="Q8" s="67"/>
      <c r="R8" s="67"/>
      <c r="S8" s="67" t="s">
        <v>1183</v>
      </c>
      <c r="T8" s="67" t="s">
        <v>1184</v>
      </c>
      <c r="U8" s="67"/>
      <c r="V8" s="67"/>
      <c r="W8" s="73" t="s">
        <v>3</v>
      </c>
      <c r="X8" s="73" t="s">
        <v>3</v>
      </c>
      <c r="Y8" s="73" t="s">
        <v>3</v>
      </c>
      <c r="Z8" s="73" t="s">
        <v>3</v>
      </c>
      <c r="AA8" s="73" t="s">
        <v>3</v>
      </c>
      <c r="AB8" s="73" t="s">
        <v>3</v>
      </c>
      <c r="AC8" s="73"/>
      <c r="AD8" s="73" t="s">
        <v>1185</v>
      </c>
      <c r="AE8" s="67" t="s">
        <v>1186</v>
      </c>
      <c r="AF8" s="67" t="s">
        <v>1187</v>
      </c>
      <c r="AG8" s="73" t="s">
        <v>785</v>
      </c>
      <c r="AH8" s="67" t="s">
        <v>1188</v>
      </c>
      <c r="AI8" s="67" t="s">
        <v>1189</v>
      </c>
      <c r="AJ8" s="67" t="s">
        <v>1190</v>
      </c>
      <c r="AK8" s="73" t="s">
        <v>864</v>
      </c>
      <c r="AL8" s="67" t="s">
        <v>1974</v>
      </c>
      <c r="AM8" s="73" t="s">
        <v>3</v>
      </c>
      <c r="AN8" s="73" t="s">
        <v>1569</v>
      </c>
      <c r="AO8" s="73"/>
      <c r="AP8" s="73" t="s">
        <v>3</v>
      </c>
      <c r="AQ8" s="73" t="s">
        <v>1350</v>
      </c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67" t="s">
        <v>3</v>
      </c>
      <c r="BE8" t="s">
        <v>1973</v>
      </c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 s="2" t="s">
        <v>3</v>
      </c>
      <c r="BX8" s="103"/>
      <c r="BY8"/>
      <c r="BZ8"/>
      <c r="CA8"/>
      <c r="CH8"/>
      <c r="CI8"/>
    </row>
    <row r="9" spans="1:87" x14ac:dyDescent="0.25">
      <c r="A9" s="73" t="s">
        <v>1123</v>
      </c>
      <c r="B9" s="74">
        <v>1</v>
      </c>
      <c r="C9" s="72"/>
      <c r="D9" s="73" t="s">
        <v>1981</v>
      </c>
      <c r="E9" s="73"/>
      <c r="F9" s="73" t="s">
        <v>3</v>
      </c>
      <c r="G9" s="73" t="s">
        <v>3</v>
      </c>
      <c r="H9" s="73" t="s">
        <v>3</v>
      </c>
      <c r="I9" s="73" t="s">
        <v>1182</v>
      </c>
      <c r="J9" s="73" t="s">
        <v>785</v>
      </c>
      <c r="K9" s="73" t="s">
        <v>3</v>
      </c>
      <c r="L9" s="73"/>
      <c r="M9" s="73"/>
      <c r="N9" s="73" t="s">
        <v>961</v>
      </c>
      <c r="O9" s="73"/>
      <c r="P9" s="73"/>
      <c r="Q9" s="67"/>
      <c r="R9" s="67"/>
      <c r="S9" s="67" t="s">
        <v>1183</v>
      </c>
      <c r="T9" s="67" t="s">
        <v>1184</v>
      </c>
      <c r="U9" s="67"/>
      <c r="V9" s="67"/>
      <c r="W9" s="73" t="s">
        <v>3</v>
      </c>
      <c r="X9" s="73" t="s">
        <v>3</v>
      </c>
      <c r="Y9" s="73" t="s">
        <v>3</v>
      </c>
      <c r="Z9" s="73" t="s">
        <v>3</v>
      </c>
      <c r="AA9" s="73" t="s">
        <v>3</v>
      </c>
      <c r="AB9" s="73" t="s">
        <v>3</v>
      </c>
      <c r="AC9" s="73"/>
      <c r="AD9" s="73" t="s">
        <v>1185</v>
      </c>
      <c r="AE9" s="67" t="s">
        <v>1186</v>
      </c>
      <c r="AF9" s="67" t="s">
        <v>1187</v>
      </c>
      <c r="AG9" s="73" t="s">
        <v>785</v>
      </c>
      <c r="AH9" s="67"/>
      <c r="AI9" s="67"/>
      <c r="AJ9" s="67"/>
      <c r="AK9" s="73"/>
      <c r="AL9" s="67" t="s">
        <v>1974</v>
      </c>
      <c r="AM9" s="73" t="s">
        <v>3</v>
      </c>
      <c r="AN9" s="73" t="s">
        <v>1988</v>
      </c>
      <c r="AO9" s="73"/>
      <c r="AP9" s="73" t="s">
        <v>3</v>
      </c>
      <c r="AQ9" s="73"/>
      <c r="AR9" s="73" t="s">
        <v>3</v>
      </c>
      <c r="AS9" s="73" t="s">
        <v>3</v>
      </c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67" t="s">
        <v>3</v>
      </c>
      <c r="BE9" t="s">
        <v>1993</v>
      </c>
      <c r="CH9"/>
      <c r="CI9"/>
    </row>
    <row r="10" spans="1:87" x14ac:dyDescent="0.25">
      <c r="A10" s="73" t="s">
        <v>1157</v>
      </c>
      <c r="B10" s="74">
        <v>1</v>
      </c>
      <c r="C10" s="72"/>
      <c r="D10" s="73" t="s">
        <v>1982</v>
      </c>
      <c r="E10" s="73"/>
      <c r="F10" s="73" t="s">
        <v>3</v>
      </c>
      <c r="G10" s="73" t="s">
        <v>3</v>
      </c>
      <c r="H10" s="73" t="s">
        <v>3</v>
      </c>
      <c r="I10" s="73" t="s">
        <v>1182</v>
      </c>
      <c r="J10" s="73" t="s">
        <v>785</v>
      </c>
      <c r="K10" s="73" t="s">
        <v>3</v>
      </c>
      <c r="L10" s="73"/>
      <c r="M10" s="73"/>
      <c r="N10" s="73" t="s">
        <v>961</v>
      </c>
      <c r="O10" s="73"/>
      <c r="P10" s="73"/>
      <c r="Q10" s="67"/>
      <c r="R10" s="67"/>
      <c r="S10" s="67" t="s">
        <v>1183</v>
      </c>
      <c r="T10" s="67" t="s">
        <v>1184</v>
      </c>
      <c r="U10" s="67"/>
      <c r="V10" s="67"/>
      <c r="W10" s="73" t="s">
        <v>3</v>
      </c>
      <c r="X10" s="73" t="s">
        <v>3</v>
      </c>
      <c r="Y10" s="73" t="s">
        <v>3</v>
      </c>
      <c r="Z10" s="73" t="s">
        <v>3</v>
      </c>
      <c r="AA10" s="73" t="s">
        <v>3</v>
      </c>
      <c r="AB10" s="73" t="s">
        <v>3</v>
      </c>
      <c r="AC10" s="73"/>
      <c r="AD10" s="73" t="s">
        <v>1185</v>
      </c>
      <c r="AE10" s="67" t="s">
        <v>1186</v>
      </c>
      <c r="AF10" s="67" t="s">
        <v>1187</v>
      </c>
      <c r="AG10" s="73" t="s">
        <v>785</v>
      </c>
      <c r="AH10" s="67"/>
      <c r="AI10" s="67"/>
      <c r="AJ10" s="67"/>
      <c r="AK10" s="73"/>
      <c r="AL10" s="67" t="s">
        <v>1975</v>
      </c>
      <c r="AM10" s="73" t="s">
        <v>3</v>
      </c>
      <c r="AN10" s="73" t="s">
        <v>1989</v>
      </c>
      <c r="AO10" s="73"/>
      <c r="AP10" s="73" t="s">
        <v>3</v>
      </c>
      <c r="AQ10" s="73" t="s">
        <v>1191</v>
      </c>
      <c r="AR10" s="73"/>
      <c r="AS10" s="73"/>
      <c r="AT10" s="73" t="s">
        <v>3</v>
      </c>
      <c r="AU10" s="73"/>
      <c r="AV10" s="73"/>
      <c r="AW10" s="73"/>
      <c r="AX10" s="73"/>
      <c r="AY10" s="73"/>
      <c r="AZ10" s="73"/>
      <c r="BA10" s="73"/>
      <c r="BB10" s="73"/>
      <c r="BC10" s="73"/>
      <c r="BD10" s="67" t="s">
        <v>3</v>
      </c>
      <c r="BE10" t="s">
        <v>1999</v>
      </c>
      <c r="CH10"/>
      <c r="CI10"/>
    </row>
    <row r="11" spans="1:87" x14ac:dyDescent="0.25">
      <c r="A11" s="73" t="s">
        <v>1163</v>
      </c>
      <c r="B11" s="74">
        <v>1</v>
      </c>
      <c r="C11" s="72"/>
      <c r="D11" s="73" t="s">
        <v>1983</v>
      </c>
      <c r="E11" s="73"/>
      <c r="F11" s="73" t="s">
        <v>3</v>
      </c>
      <c r="G11" s="73" t="s">
        <v>3</v>
      </c>
      <c r="H11" s="73" t="s">
        <v>3</v>
      </c>
      <c r="I11" s="73" t="s">
        <v>1182</v>
      </c>
      <c r="J11" s="73" t="s">
        <v>785</v>
      </c>
      <c r="K11" s="73" t="s">
        <v>3</v>
      </c>
      <c r="L11" s="73"/>
      <c r="M11" s="73"/>
      <c r="N11" s="73" t="s">
        <v>961</v>
      </c>
      <c r="O11" s="73"/>
      <c r="P11" s="73"/>
      <c r="Q11" s="67"/>
      <c r="R11" s="67"/>
      <c r="S11" s="67" t="s">
        <v>1183</v>
      </c>
      <c r="T11" s="67" t="s">
        <v>1184</v>
      </c>
      <c r="U11" s="67"/>
      <c r="V11" s="67"/>
      <c r="W11" s="73" t="s">
        <v>3</v>
      </c>
      <c r="X11" s="73" t="s">
        <v>3</v>
      </c>
      <c r="Y11" s="73" t="s">
        <v>3</v>
      </c>
      <c r="Z11" s="73" t="s">
        <v>3</v>
      </c>
      <c r="AA11" s="73" t="s">
        <v>3</v>
      </c>
      <c r="AB11" s="73" t="s">
        <v>3</v>
      </c>
      <c r="AC11" s="73"/>
      <c r="AD11" s="73" t="s">
        <v>1185</v>
      </c>
      <c r="AE11" s="67" t="s">
        <v>1186</v>
      </c>
      <c r="AF11" s="67" t="s">
        <v>1187</v>
      </c>
      <c r="AG11" s="73" t="s">
        <v>785</v>
      </c>
      <c r="AH11" s="67"/>
      <c r="AI11" s="67"/>
      <c r="AJ11" s="67"/>
      <c r="AK11" s="73"/>
      <c r="AL11" s="67" t="s">
        <v>1975</v>
      </c>
      <c r="AM11" s="73" t="s">
        <v>3</v>
      </c>
      <c r="AN11" s="73" t="s">
        <v>1990</v>
      </c>
      <c r="AO11" s="73"/>
      <c r="AP11" s="73" t="s">
        <v>3</v>
      </c>
      <c r="AQ11" s="73" t="s">
        <v>1192</v>
      </c>
      <c r="AR11" s="73"/>
      <c r="AS11" s="73"/>
      <c r="AT11" s="73" t="s">
        <v>3</v>
      </c>
      <c r="AU11" s="73"/>
      <c r="AV11" s="73"/>
      <c r="AW11" s="73"/>
      <c r="AX11" s="73"/>
      <c r="AY11" s="73"/>
      <c r="AZ11" s="73"/>
      <c r="BA11" s="73"/>
      <c r="BB11" s="73"/>
      <c r="BC11" s="73"/>
      <c r="BD11" s="67" t="s">
        <v>3</v>
      </c>
      <c r="BE11" t="s">
        <v>2008</v>
      </c>
      <c r="CH11"/>
      <c r="CI11"/>
    </row>
    <row r="12" spans="1:87" x14ac:dyDescent="0.25">
      <c r="A12" s="2" t="s">
        <v>1164</v>
      </c>
      <c r="B12" s="6">
        <v>1</v>
      </c>
      <c r="C12"/>
      <c r="D12" s="2" t="s">
        <v>1984</v>
      </c>
      <c r="E12" s="2"/>
      <c r="F12" s="73" t="s">
        <v>3</v>
      </c>
      <c r="G12" s="73" t="s">
        <v>3</v>
      </c>
      <c r="H12" s="73" t="s">
        <v>3</v>
      </c>
      <c r="I12" s="73" t="s">
        <v>1182</v>
      </c>
      <c r="J12" s="73" t="s">
        <v>785</v>
      </c>
      <c r="K12" s="2" t="s">
        <v>3</v>
      </c>
      <c r="L12" s="73"/>
      <c r="M12" s="73"/>
      <c r="N12" s="73" t="s">
        <v>961</v>
      </c>
      <c r="O12" s="73"/>
      <c r="P12" s="73"/>
      <c r="Q12" s="67"/>
      <c r="R12" s="67"/>
      <c r="S12" s="67" t="s">
        <v>1183</v>
      </c>
      <c r="T12" s="67" t="s">
        <v>1184</v>
      </c>
      <c r="U12" s="67"/>
      <c r="V12" s="67"/>
      <c r="W12" s="73" t="s">
        <v>3</v>
      </c>
      <c r="X12" s="73" t="s">
        <v>3</v>
      </c>
      <c r="Y12" s="73" t="s">
        <v>3</v>
      </c>
      <c r="Z12" s="73" t="s">
        <v>3</v>
      </c>
      <c r="AA12" s="73" t="s">
        <v>3</v>
      </c>
      <c r="AB12" s="73" t="s">
        <v>3</v>
      </c>
      <c r="AC12" s="73"/>
      <c r="AD12" s="73" t="s">
        <v>1185</v>
      </c>
      <c r="AE12" s="67" t="s">
        <v>1186</v>
      </c>
      <c r="AF12" s="67" t="s">
        <v>1187</v>
      </c>
      <c r="AG12" s="73" t="s">
        <v>785</v>
      </c>
      <c r="AH12" s="67"/>
      <c r="AI12" s="67"/>
      <c r="AJ12" s="67"/>
      <c r="AK12" s="73"/>
      <c r="AL12" s="67" t="s">
        <v>1976</v>
      </c>
      <c r="AM12" s="73" t="s">
        <v>3</v>
      </c>
      <c r="AN12" s="73" t="s">
        <v>1991</v>
      </c>
      <c r="AO12" s="73"/>
      <c r="AP12" s="73" t="s">
        <v>3</v>
      </c>
      <c r="AQ12" s="14"/>
      <c r="AR12" s="73"/>
      <c r="AS12" s="73"/>
      <c r="AT12" s="73"/>
      <c r="AU12" s="73" t="s">
        <v>308</v>
      </c>
      <c r="AV12" s="73"/>
      <c r="AW12" s="73"/>
      <c r="AX12" s="73"/>
      <c r="AY12" s="73"/>
      <c r="AZ12" s="73"/>
      <c r="BA12" s="73"/>
      <c r="BB12" s="73"/>
      <c r="BC12" s="2"/>
      <c r="BD12" s="67" t="s">
        <v>3</v>
      </c>
      <c r="BE12" t="s">
        <v>1351</v>
      </c>
      <c r="BF12" s="79"/>
      <c r="BG12" s="79"/>
    </row>
    <row r="13" spans="1:87" x14ac:dyDescent="0.25">
      <c r="A13" s="2" t="s">
        <v>773</v>
      </c>
      <c r="B13" s="6">
        <v>1</v>
      </c>
      <c r="C13" t="s">
        <v>3</v>
      </c>
      <c r="D13" s="2" t="s">
        <v>1280</v>
      </c>
      <c r="E13" s="2"/>
      <c r="F13" s="2"/>
      <c r="G13" s="2"/>
      <c r="H13" s="2"/>
      <c r="I13" s="2"/>
      <c r="J13" s="2"/>
      <c r="K13" s="2" t="s">
        <v>3</v>
      </c>
      <c r="L13" s="2" t="s">
        <v>3</v>
      </c>
      <c r="M13" s="2" t="s">
        <v>1281</v>
      </c>
      <c r="N13" s="73" t="s">
        <v>961</v>
      </c>
      <c r="O13" s="73"/>
      <c r="P13" s="73"/>
      <c r="Q13" s="2"/>
      <c r="R13" s="2"/>
      <c r="S13" s="2"/>
      <c r="T13" s="2"/>
      <c r="U13" s="2" t="s">
        <v>3</v>
      </c>
      <c r="V13" s="2" t="s">
        <v>3</v>
      </c>
      <c r="W13" s="2"/>
      <c r="X13" s="2"/>
      <c r="Y13" s="2"/>
      <c r="Z13" s="2"/>
      <c r="AA13" s="2"/>
      <c r="AB13" s="2"/>
      <c r="AC13" s="2"/>
      <c r="AD13" s="2"/>
      <c r="AE13" s="67" t="s">
        <v>1186</v>
      </c>
      <c r="AF13" s="67" t="s">
        <v>1275</v>
      </c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14" t="s">
        <v>358</v>
      </c>
      <c r="AR13" s="2"/>
      <c r="AS13" s="2"/>
      <c r="AT13" s="14" t="s">
        <v>3</v>
      </c>
      <c r="AU13" s="14"/>
      <c r="AV13" s="14"/>
      <c r="AW13" s="14"/>
      <c r="AX13" s="14"/>
      <c r="AY13" s="14"/>
      <c r="AZ13" s="14"/>
      <c r="BA13" s="14"/>
      <c r="BB13" s="14"/>
      <c r="BC13" s="2" t="s">
        <v>1274</v>
      </c>
      <c r="BD13" s="14" t="s">
        <v>3</v>
      </c>
      <c r="BE13" t="s">
        <v>1369</v>
      </c>
    </row>
    <row r="14" spans="1:87" x14ac:dyDescent="0.25">
      <c r="A14" s="2" t="s">
        <v>1165</v>
      </c>
      <c r="B14" s="6">
        <v>1</v>
      </c>
      <c r="C14" t="s">
        <v>3</v>
      </c>
      <c r="D14" s="2" t="s">
        <v>1280</v>
      </c>
      <c r="E14" s="2"/>
      <c r="F14" s="2"/>
      <c r="G14" s="2"/>
      <c r="H14" s="2"/>
      <c r="I14" s="2"/>
      <c r="J14" s="73" t="s">
        <v>785</v>
      </c>
      <c r="K14" s="2"/>
      <c r="L14" s="2"/>
      <c r="M14" s="2"/>
      <c r="N14" s="73" t="s">
        <v>961</v>
      </c>
      <c r="O14" s="73"/>
      <c r="P14" s="73"/>
      <c r="Q14" s="2"/>
      <c r="R14" s="2"/>
      <c r="S14" s="2"/>
      <c r="T14" s="2"/>
      <c r="U14" s="2"/>
      <c r="V14" s="2"/>
      <c r="W14" s="73" t="s">
        <v>3</v>
      </c>
      <c r="X14" s="73" t="s">
        <v>3</v>
      </c>
      <c r="Y14" s="73" t="s">
        <v>3</v>
      </c>
      <c r="Z14" s="73" t="s">
        <v>3</v>
      </c>
      <c r="AA14" s="73" t="s">
        <v>3</v>
      </c>
      <c r="AB14" s="73" t="s">
        <v>3</v>
      </c>
      <c r="AC14" s="73"/>
      <c r="AD14" s="73" t="s">
        <v>1185</v>
      </c>
      <c r="AE14" s="67" t="s">
        <v>1186</v>
      </c>
      <c r="AF14" s="67" t="s">
        <v>1275</v>
      </c>
      <c r="AG14" s="73"/>
      <c r="AH14" s="67" t="s">
        <v>1188</v>
      </c>
      <c r="AI14" s="67" t="s">
        <v>1189</v>
      </c>
      <c r="AJ14" s="67" t="s">
        <v>1190</v>
      </c>
      <c r="AK14" s="73" t="s">
        <v>864</v>
      </c>
      <c r="AL14" s="67"/>
      <c r="AM14" s="73"/>
      <c r="AN14" s="73"/>
      <c r="AO14" s="73" t="s">
        <v>3</v>
      </c>
      <c r="AP14" s="73" t="s">
        <v>3</v>
      </c>
      <c r="AQ14" s="14" t="s">
        <v>1350</v>
      </c>
      <c r="AR14" s="73"/>
      <c r="AS14" s="73"/>
      <c r="AT14" s="14"/>
      <c r="AU14" s="14"/>
      <c r="AV14" s="14"/>
      <c r="AW14" s="14"/>
      <c r="AX14" s="14"/>
      <c r="AY14" s="14"/>
      <c r="AZ14" s="14"/>
      <c r="BA14" s="14"/>
      <c r="BB14" s="14"/>
      <c r="BC14" s="2"/>
      <c r="BD14" s="14" t="s">
        <v>3</v>
      </c>
      <c r="BE14"/>
    </row>
    <row r="15" spans="1:87" x14ac:dyDescent="0.25">
      <c r="A15" s="2" t="s">
        <v>1166</v>
      </c>
      <c r="B15" s="6">
        <v>1</v>
      </c>
      <c r="C15" t="s">
        <v>3</v>
      </c>
      <c r="D15" s="2" t="s">
        <v>1476</v>
      </c>
      <c r="E15" s="2"/>
      <c r="F15" s="2"/>
      <c r="G15" s="2"/>
      <c r="H15" s="2"/>
      <c r="I15" s="2"/>
      <c r="J15" s="73" t="s">
        <v>785</v>
      </c>
      <c r="K15" s="2"/>
      <c r="L15" s="2"/>
      <c r="M15" s="2"/>
      <c r="N15" s="73" t="s">
        <v>961</v>
      </c>
      <c r="O15" s="73" t="s">
        <v>308</v>
      </c>
      <c r="P15" s="73" t="s">
        <v>308</v>
      </c>
      <c r="Q15" s="14"/>
      <c r="R15" s="14"/>
      <c r="S15" s="2"/>
      <c r="T15" s="2"/>
      <c r="U15" s="2"/>
      <c r="V15" s="2"/>
      <c r="W15" s="73" t="s">
        <v>3</v>
      </c>
      <c r="X15" s="73" t="s">
        <v>3</v>
      </c>
      <c r="Y15" s="73" t="s">
        <v>3</v>
      </c>
      <c r="Z15" s="73" t="s">
        <v>3</v>
      </c>
      <c r="AA15" s="73" t="s">
        <v>3</v>
      </c>
      <c r="AB15" s="73" t="s">
        <v>3</v>
      </c>
      <c r="AC15" s="73"/>
      <c r="AD15" s="73" t="s">
        <v>1185</v>
      </c>
      <c r="AE15" s="67" t="s">
        <v>1186</v>
      </c>
      <c r="AF15" s="67" t="s">
        <v>1275</v>
      </c>
      <c r="AG15" s="73"/>
      <c r="AH15" s="67" t="s">
        <v>1188</v>
      </c>
      <c r="AI15" s="67" t="s">
        <v>1189</v>
      </c>
      <c r="AJ15" s="67" t="s">
        <v>1190</v>
      </c>
      <c r="AK15" s="73" t="s">
        <v>864</v>
      </c>
      <c r="AL15" s="67"/>
      <c r="AM15" s="73"/>
      <c r="AN15" s="73"/>
      <c r="AO15" s="73" t="s">
        <v>3</v>
      </c>
      <c r="AP15" s="73" t="s">
        <v>3</v>
      </c>
      <c r="AQ15" s="73"/>
      <c r="AR15" s="2" t="s">
        <v>3</v>
      </c>
      <c r="AS15" s="2" t="s">
        <v>3</v>
      </c>
      <c r="AT15" s="14"/>
      <c r="AU15" s="14"/>
      <c r="AV15" s="14"/>
      <c r="AW15" s="14"/>
      <c r="AX15" s="14"/>
      <c r="AY15" s="14"/>
      <c r="AZ15" s="14"/>
      <c r="BA15" s="14"/>
      <c r="BB15" s="14"/>
      <c r="BC15" s="2"/>
      <c r="BD15" s="14" t="s">
        <v>3</v>
      </c>
      <c r="BE15" t="s">
        <v>1373</v>
      </c>
    </row>
    <row r="16" spans="1:87" x14ac:dyDescent="0.25">
      <c r="A16" s="2" t="s">
        <v>1167</v>
      </c>
      <c r="B16" s="6">
        <v>1</v>
      </c>
      <c r="C16" t="s">
        <v>3</v>
      </c>
      <c r="D16" s="2" t="s">
        <v>839</v>
      </c>
      <c r="E16" s="2"/>
      <c r="F16" s="2"/>
      <c r="G16" s="2"/>
      <c r="H16" s="2"/>
      <c r="I16" s="2"/>
      <c r="J16" s="73" t="s">
        <v>785</v>
      </c>
      <c r="K16" s="2"/>
      <c r="L16" s="2"/>
      <c r="M16" s="2"/>
      <c r="N16" s="73" t="s">
        <v>961</v>
      </c>
      <c r="O16" s="73"/>
      <c r="P16" s="73"/>
      <c r="Q16" s="2"/>
      <c r="R16" s="2"/>
      <c r="S16" s="67" t="s">
        <v>1183</v>
      </c>
      <c r="T16" s="67" t="s">
        <v>1184</v>
      </c>
      <c r="U16" s="2"/>
      <c r="V16" s="2"/>
      <c r="W16" s="73" t="s">
        <v>3</v>
      </c>
      <c r="X16" s="73" t="s">
        <v>3</v>
      </c>
      <c r="Y16" s="73" t="s">
        <v>3</v>
      </c>
      <c r="Z16" s="73" t="s">
        <v>3</v>
      </c>
      <c r="AA16" s="73" t="s">
        <v>3</v>
      </c>
      <c r="AB16" s="73" t="s">
        <v>3</v>
      </c>
      <c r="AC16" s="73"/>
      <c r="AD16" s="73" t="s">
        <v>1185</v>
      </c>
      <c r="AE16" s="67" t="s">
        <v>1186</v>
      </c>
      <c r="AF16" s="67" t="s">
        <v>1275</v>
      </c>
      <c r="AG16" s="73"/>
      <c r="AH16" s="67" t="s">
        <v>1188</v>
      </c>
      <c r="AI16" s="67"/>
      <c r="AJ16" s="67"/>
      <c r="AK16" s="73"/>
      <c r="AL16" s="67"/>
      <c r="AM16" s="73"/>
      <c r="AN16" s="73"/>
      <c r="AO16" s="73" t="s">
        <v>3</v>
      </c>
      <c r="AP16" s="73" t="s">
        <v>3</v>
      </c>
      <c r="AQ16" s="73" t="s">
        <v>1191</v>
      </c>
      <c r="AR16" s="2"/>
      <c r="AS16" s="2"/>
      <c r="AT16" s="14" t="s">
        <v>3</v>
      </c>
      <c r="AU16" s="14"/>
      <c r="AV16" s="14" t="s">
        <v>308</v>
      </c>
      <c r="AW16" s="14" t="s">
        <v>308</v>
      </c>
      <c r="AX16" s="14" t="s">
        <v>1491</v>
      </c>
      <c r="AY16" s="14" t="s">
        <v>308</v>
      </c>
      <c r="AZ16" s="14" t="s">
        <v>1132</v>
      </c>
      <c r="BA16" s="14" t="s">
        <v>1240</v>
      </c>
      <c r="BB16" s="14" t="s">
        <v>308</v>
      </c>
      <c r="BC16" s="2"/>
      <c r="BD16" s="14"/>
      <c r="BE16"/>
    </row>
    <row r="17" spans="1:87" x14ac:dyDescent="0.25">
      <c r="A17" s="2" t="s">
        <v>1168</v>
      </c>
      <c r="B17" s="6">
        <v>1</v>
      </c>
      <c r="C17" t="s">
        <v>3</v>
      </c>
      <c r="D17" s="2" t="s">
        <v>1516</v>
      </c>
      <c r="E17" s="2"/>
      <c r="F17" s="2"/>
      <c r="G17" s="2"/>
      <c r="H17" s="2"/>
      <c r="I17" s="2"/>
      <c r="J17" s="73" t="s">
        <v>785</v>
      </c>
      <c r="K17" s="2"/>
      <c r="L17" s="2"/>
      <c r="M17" s="2"/>
      <c r="N17" s="73" t="s">
        <v>961</v>
      </c>
      <c r="O17" s="73"/>
      <c r="P17" s="73"/>
      <c r="Q17" s="2"/>
      <c r="R17" s="2"/>
      <c r="S17" s="67" t="s">
        <v>1183</v>
      </c>
      <c r="T17" s="67" t="s">
        <v>1184</v>
      </c>
      <c r="U17" s="2"/>
      <c r="V17" s="2"/>
      <c r="W17" s="73" t="s">
        <v>3</v>
      </c>
      <c r="X17" s="73" t="s">
        <v>3</v>
      </c>
      <c r="Y17" s="73" t="s">
        <v>3</v>
      </c>
      <c r="Z17" s="73" t="s">
        <v>3</v>
      </c>
      <c r="AA17" s="73" t="s">
        <v>3</v>
      </c>
      <c r="AB17" s="73" t="s">
        <v>3</v>
      </c>
      <c r="AC17" s="73"/>
      <c r="AD17" s="73" t="s">
        <v>1185</v>
      </c>
      <c r="AE17" s="67" t="s">
        <v>1186</v>
      </c>
      <c r="AF17" s="67" t="s">
        <v>1275</v>
      </c>
      <c r="AG17" s="73"/>
      <c r="AH17" s="67" t="s">
        <v>1188</v>
      </c>
      <c r="AI17" s="67"/>
      <c r="AJ17" s="67"/>
      <c r="AK17" s="73"/>
      <c r="AL17" s="67"/>
      <c r="AM17" s="73"/>
      <c r="AN17" s="73"/>
      <c r="AO17" s="73" t="s">
        <v>3</v>
      </c>
      <c r="AP17" s="73" t="s">
        <v>3</v>
      </c>
      <c r="AQ17" s="73" t="s">
        <v>1192</v>
      </c>
      <c r="AR17" s="2"/>
      <c r="AS17" s="2"/>
      <c r="AT17" s="14" t="s">
        <v>3</v>
      </c>
      <c r="AU17" s="14"/>
      <c r="AV17" s="14"/>
      <c r="AW17" s="14"/>
      <c r="AX17" s="14"/>
      <c r="AY17" s="14"/>
      <c r="AZ17" s="14"/>
      <c r="BA17" s="14"/>
      <c r="BB17" s="14"/>
      <c r="BC17" s="2"/>
      <c r="BD17" s="14" t="s">
        <v>3</v>
      </c>
      <c r="BE17" t="s">
        <v>1518</v>
      </c>
    </row>
    <row r="18" spans="1:87" x14ac:dyDescent="0.25">
      <c r="A18" s="2" t="s">
        <v>1169</v>
      </c>
      <c r="B18" s="6">
        <v>1</v>
      </c>
      <c r="C18" t="s">
        <v>3</v>
      </c>
      <c r="D18" s="2" t="s">
        <v>1280</v>
      </c>
      <c r="E18" s="2"/>
      <c r="F18" s="2"/>
      <c r="G18" s="2"/>
      <c r="H18" s="2"/>
      <c r="I18" s="2"/>
      <c r="J18" s="73" t="s">
        <v>785</v>
      </c>
      <c r="K18" s="2"/>
      <c r="L18" s="2"/>
      <c r="M18" s="2"/>
      <c r="N18" s="73" t="s">
        <v>961</v>
      </c>
      <c r="O18" s="73" t="s">
        <v>308</v>
      </c>
      <c r="P18" s="73" t="s">
        <v>308</v>
      </c>
      <c r="Q18" s="14"/>
      <c r="R18" s="14"/>
      <c r="S18" s="67" t="s">
        <v>1183</v>
      </c>
      <c r="T18" s="67" t="s">
        <v>1184</v>
      </c>
      <c r="U18" s="2"/>
      <c r="V18" s="2"/>
      <c r="W18" s="73" t="s">
        <v>3</v>
      </c>
      <c r="X18" s="73" t="s">
        <v>3</v>
      </c>
      <c r="Y18" s="73" t="s">
        <v>3</v>
      </c>
      <c r="Z18" s="73" t="s">
        <v>3</v>
      </c>
      <c r="AA18" s="73" t="s">
        <v>3</v>
      </c>
      <c r="AB18" s="73" t="s">
        <v>3</v>
      </c>
      <c r="AC18" s="73"/>
      <c r="AD18" s="73" t="s">
        <v>1185</v>
      </c>
      <c r="AE18" s="67" t="s">
        <v>1186</v>
      </c>
      <c r="AF18" s="67" t="s">
        <v>1275</v>
      </c>
      <c r="AG18" s="73"/>
      <c r="AH18" s="67" t="s">
        <v>1188</v>
      </c>
      <c r="AI18" s="67" t="s">
        <v>1189</v>
      </c>
      <c r="AJ18" s="67" t="s">
        <v>1190</v>
      </c>
      <c r="AK18" s="73" t="s">
        <v>864</v>
      </c>
      <c r="AL18" s="67"/>
      <c r="AM18" s="73"/>
      <c r="AN18" s="73" t="s">
        <v>1569</v>
      </c>
      <c r="AO18" s="73" t="s">
        <v>3</v>
      </c>
      <c r="AP18" s="73" t="s">
        <v>3</v>
      </c>
      <c r="AQ18" s="73"/>
      <c r="AR18" s="2"/>
      <c r="AS18" s="2"/>
      <c r="AT18" s="14"/>
      <c r="AU18" s="14" t="s">
        <v>308</v>
      </c>
      <c r="AV18" s="14"/>
      <c r="AW18" s="14"/>
      <c r="AX18" s="14"/>
      <c r="AY18" s="14"/>
      <c r="AZ18" s="14"/>
      <c r="BA18" s="14"/>
      <c r="BB18" s="14"/>
      <c r="BC18" s="2"/>
      <c r="BD18" s="14"/>
      <c r="BE18"/>
    </row>
    <row r="19" spans="1:87" x14ac:dyDescent="0.25">
      <c r="A19" s="2" t="s">
        <v>1170</v>
      </c>
      <c r="B19" s="6">
        <v>1</v>
      </c>
      <c r="C19" t="s">
        <v>3</v>
      </c>
      <c r="D19" s="2" t="s">
        <v>1578</v>
      </c>
      <c r="E19" s="2"/>
      <c r="F19" s="2"/>
      <c r="G19" s="2"/>
      <c r="H19" s="2"/>
      <c r="I19" s="2"/>
      <c r="J19" s="73" t="s">
        <v>785</v>
      </c>
      <c r="K19" s="2"/>
      <c r="L19" s="2"/>
      <c r="M19" s="2"/>
      <c r="N19" s="73" t="s">
        <v>961</v>
      </c>
      <c r="O19" s="73"/>
      <c r="P19" s="73"/>
      <c r="Q19" s="2"/>
      <c r="R19" s="2"/>
      <c r="S19" s="67" t="s">
        <v>1183</v>
      </c>
      <c r="T19" s="67" t="s">
        <v>1184</v>
      </c>
      <c r="U19" s="2"/>
      <c r="V19" s="2"/>
      <c r="W19" s="73" t="s">
        <v>3</v>
      </c>
      <c r="X19" s="73" t="s">
        <v>3</v>
      </c>
      <c r="Y19" s="73" t="s">
        <v>3</v>
      </c>
      <c r="Z19" s="73" t="s">
        <v>3</v>
      </c>
      <c r="AA19" s="73" t="s">
        <v>3</v>
      </c>
      <c r="AB19" s="73" t="s">
        <v>3</v>
      </c>
      <c r="AC19" s="73"/>
      <c r="AD19" s="73" t="s">
        <v>1185</v>
      </c>
      <c r="AE19" s="67" t="s">
        <v>1186</v>
      </c>
      <c r="AF19" s="67" t="s">
        <v>1275</v>
      </c>
      <c r="AG19" s="73"/>
      <c r="AH19" s="67" t="s">
        <v>1188</v>
      </c>
      <c r="AI19" s="67"/>
      <c r="AJ19" s="67"/>
      <c r="AK19" s="73"/>
      <c r="AL19" s="67"/>
      <c r="AM19" s="73"/>
      <c r="AN19" s="73" t="s">
        <v>1569</v>
      </c>
      <c r="AO19" s="73" t="s">
        <v>3</v>
      </c>
      <c r="AP19" s="73" t="s">
        <v>3</v>
      </c>
      <c r="AQ19" s="73"/>
      <c r="AR19" s="2"/>
      <c r="AS19" s="2"/>
      <c r="AT19" s="14"/>
      <c r="AU19" s="14" t="s">
        <v>308</v>
      </c>
      <c r="AV19" s="14"/>
      <c r="AW19" s="14"/>
      <c r="AX19" s="14"/>
      <c r="AY19" s="14"/>
      <c r="AZ19" s="14"/>
      <c r="BA19" s="14"/>
      <c r="BB19" s="14"/>
      <c r="BC19" s="2"/>
      <c r="BD19" s="14" t="s">
        <v>3</v>
      </c>
      <c r="BE19" t="s">
        <v>1706</v>
      </c>
    </row>
    <row r="20" spans="1:87" x14ac:dyDescent="0.25">
      <c r="A20" s="2" t="s">
        <v>1171</v>
      </c>
      <c r="B20" s="6">
        <v>1</v>
      </c>
      <c r="C20" t="s">
        <v>3</v>
      </c>
      <c r="D20" s="2" t="s">
        <v>1717</v>
      </c>
      <c r="E20" s="2"/>
      <c r="F20" s="2"/>
      <c r="G20" s="2"/>
      <c r="H20" s="2"/>
      <c r="I20" s="2"/>
      <c r="J20" s="73" t="s">
        <v>785</v>
      </c>
      <c r="K20" s="2"/>
      <c r="L20" s="2"/>
      <c r="M20" s="2"/>
      <c r="N20" s="73" t="s">
        <v>961</v>
      </c>
      <c r="O20" s="73"/>
      <c r="P20" s="73"/>
      <c r="Q20" s="2"/>
      <c r="R20" s="2"/>
      <c r="S20" s="67" t="s">
        <v>1183</v>
      </c>
      <c r="T20" s="67" t="s">
        <v>1184</v>
      </c>
      <c r="U20" s="2"/>
      <c r="V20" s="2"/>
      <c r="W20" s="73" t="s">
        <v>3</v>
      </c>
      <c r="X20" s="73" t="s">
        <v>3</v>
      </c>
      <c r="Y20" s="73" t="s">
        <v>3</v>
      </c>
      <c r="Z20" s="73" t="s">
        <v>3</v>
      </c>
      <c r="AA20" s="73" t="s">
        <v>3</v>
      </c>
      <c r="AB20" s="73" t="s">
        <v>3</v>
      </c>
      <c r="AC20" s="73"/>
      <c r="AD20" s="73" t="s">
        <v>1185</v>
      </c>
      <c r="AE20" s="67" t="s">
        <v>1186</v>
      </c>
      <c r="AF20" s="67" t="s">
        <v>1275</v>
      </c>
      <c r="AG20" s="73"/>
      <c r="AH20" s="67" t="s">
        <v>1188</v>
      </c>
      <c r="AI20" s="67"/>
      <c r="AJ20" s="67"/>
      <c r="AK20" s="73"/>
      <c r="AL20" s="67"/>
      <c r="AM20" s="73"/>
      <c r="AN20" s="73" t="s">
        <v>1569</v>
      </c>
      <c r="AO20" s="73" t="s">
        <v>3</v>
      </c>
      <c r="AP20" s="73" t="s">
        <v>3</v>
      </c>
      <c r="AQ20" s="73"/>
      <c r="AR20" s="2"/>
      <c r="AS20" s="2"/>
      <c r="AT20" s="14"/>
      <c r="AU20" s="14" t="s">
        <v>308</v>
      </c>
      <c r="AV20" s="14"/>
      <c r="AW20" s="14"/>
      <c r="AX20" s="14"/>
      <c r="AY20" s="14"/>
      <c r="AZ20" s="14"/>
      <c r="BA20" s="14"/>
      <c r="BB20" s="14"/>
      <c r="BC20" s="2"/>
      <c r="BD20" s="14" t="s">
        <v>3</v>
      </c>
      <c r="BE20" t="s">
        <v>1722</v>
      </c>
    </row>
    <row r="21" spans="1:87" x14ac:dyDescent="0.25">
      <c r="A21" s="2" t="s">
        <v>1172</v>
      </c>
      <c r="B21" s="6">
        <v>1</v>
      </c>
      <c r="C21" t="s">
        <v>3</v>
      </c>
      <c r="D21" s="2" t="s">
        <v>1578</v>
      </c>
      <c r="E21" s="2"/>
      <c r="F21" s="2"/>
      <c r="G21" s="2"/>
      <c r="H21" s="2"/>
      <c r="I21" s="2"/>
      <c r="J21" s="73" t="s">
        <v>785</v>
      </c>
      <c r="K21" s="2"/>
      <c r="L21" s="2"/>
      <c r="M21" s="2"/>
      <c r="N21" s="73" t="s">
        <v>961</v>
      </c>
      <c r="O21" s="73"/>
      <c r="P21" s="73"/>
      <c r="Q21" s="2"/>
      <c r="R21" s="2"/>
      <c r="S21" s="67" t="s">
        <v>1183</v>
      </c>
      <c r="T21" s="67" t="s">
        <v>1184</v>
      </c>
      <c r="U21" s="2"/>
      <c r="V21" s="2"/>
      <c r="W21" s="73" t="s">
        <v>3</v>
      </c>
      <c r="X21" s="73" t="s">
        <v>3</v>
      </c>
      <c r="Y21" s="73" t="s">
        <v>3</v>
      </c>
      <c r="Z21" s="73" t="s">
        <v>3</v>
      </c>
      <c r="AA21" s="73" t="s">
        <v>3</v>
      </c>
      <c r="AB21" s="73" t="s">
        <v>3</v>
      </c>
      <c r="AC21" s="73"/>
      <c r="AD21" s="73" t="s">
        <v>1185</v>
      </c>
      <c r="AE21" s="67" t="s">
        <v>1186</v>
      </c>
      <c r="AF21" s="67" t="s">
        <v>1275</v>
      </c>
      <c r="AG21" s="73"/>
      <c r="AH21" s="67" t="s">
        <v>1188</v>
      </c>
      <c r="AI21" s="67"/>
      <c r="AJ21" s="67"/>
      <c r="AK21" s="73"/>
      <c r="AL21" s="67"/>
      <c r="AM21" s="73"/>
      <c r="AN21" s="73" t="s">
        <v>1569</v>
      </c>
      <c r="AO21" s="73" t="s">
        <v>3</v>
      </c>
      <c r="AP21" s="73" t="s">
        <v>3</v>
      </c>
      <c r="AQ21" s="73"/>
      <c r="AR21" s="2"/>
      <c r="AS21" s="2"/>
      <c r="AT21" s="14"/>
      <c r="AU21" s="14" t="s">
        <v>308</v>
      </c>
      <c r="AV21" s="14"/>
      <c r="AW21" s="14"/>
      <c r="AX21" s="14"/>
      <c r="AY21" s="14"/>
      <c r="AZ21" s="14"/>
      <c r="BA21" s="14"/>
      <c r="BB21" s="14"/>
      <c r="BC21" s="2"/>
      <c r="BD21" s="14" t="s">
        <v>3</v>
      </c>
      <c r="BE21" t="s">
        <v>1737</v>
      </c>
    </row>
    <row r="22" spans="1:87" x14ac:dyDescent="0.25">
      <c r="A22" s="2" t="s">
        <v>1173</v>
      </c>
      <c r="B22" s="6">
        <v>1</v>
      </c>
      <c r="C22" t="s">
        <v>3</v>
      </c>
      <c r="D22" s="2" t="s">
        <v>1717</v>
      </c>
      <c r="E22" s="2"/>
      <c r="F22" s="2"/>
      <c r="G22" s="2"/>
      <c r="H22" s="2"/>
      <c r="I22" s="2"/>
      <c r="J22" s="73" t="s">
        <v>785</v>
      </c>
      <c r="K22" s="2"/>
      <c r="L22" s="2"/>
      <c r="M22" s="2"/>
      <c r="N22" s="73" t="s">
        <v>961</v>
      </c>
      <c r="O22" s="73"/>
      <c r="P22" s="73"/>
      <c r="Q22" s="2"/>
      <c r="R22" s="2"/>
      <c r="S22" s="67" t="s">
        <v>1183</v>
      </c>
      <c r="T22" s="67" t="s">
        <v>1184</v>
      </c>
      <c r="U22" s="2"/>
      <c r="V22" s="2"/>
      <c r="W22" s="73" t="s">
        <v>3</v>
      </c>
      <c r="X22" s="73" t="s">
        <v>3</v>
      </c>
      <c r="Y22" s="73" t="s">
        <v>3</v>
      </c>
      <c r="Z22" s="73" t="s">
        <v>3</v>
      </c>
      <c r="AA22" s="73" t="s">
        <v>3</v>
      </c>
      <c r="AB22" s="73" t="s">
        <v>3</v>
      </c>
      <c r="AC22" s="73"/>
      <c r="AD22" s="73" t="s">
        <v>1185</v>
      </c>
      <c r="AE22" s="67" t="s">
        <v>1186</v>
      </c>
      <c r="AF22" s="67" t="s">
        <v>1275</v>
      </c>
      <c r="AG22" s="73"/>
      <c r="AH22" s="67" t="s">
        <v>1188</v>
      </c>
      <c r="AI22" s="67"/>
      <c r="AJ22" s="67"/>
      <c r="AK22" s="73"/>
      <c r="AL22" s="67"/>
      <c r="AM22" s="73"/>
      <c r="AN22" s="73" t="s">
        <v>1569</v>
      </c>
      <c r="AO22" s="73" t="s">
        <v>3</v>
      </c>
      <c r="AP22" s="73" t="s">
        <v>3</v>
      </c>
      <c r="AQ22" s="73"/>
      <c r="AR22" s="2"/>
      <c r="AS22" s="2"/>
      <c r="AT22" s="14"/>
      <c r="AU22" s="14" t="s">
        <v>308</v>
      </c>
      <c r="AV22" s="14"/>
      <c r="AW22" s="14"/>
      <c r="AX22" s="14"/>
      <c r="AY22" s="14"/>
      <c r="AZ22" s="14"/>
      <c r="BA22" s="14"/>
      <c r="BB22" s="14"/>
      <c r="BC22" s="2"/>
      <c r="BD22" s="14" t="s">
        <v>3</v>
      </c>
      <c r="BE22" t="s">
        <v>1722</v>
      </c>
    </row>
    <row r="23" spans="1:87" x14ac:dyDescent="0.25">
      <c r="A23" s="2" t="s">
        <v>1227</v>
      </c>
      <c r="B23" s="6">
        <v>1</v>
      </c>
      <c r="C23" t="s">
        <v>3</v>
      </c>
      <c r="D23" s="2" t="s">
        <v>1578</v>
      </c>
      <c r="E23" s="2"/>
      <c r="F23" s="2"/>
      <c r="G23" s="2"/>
      <c r="H23" s="2"/>
      <c r="I23" s="2"/>
      <c r="J23" s="73" t="s">
        <v>785</v>
      </c>
      <c r="K23" s="2"/>
      <c r="L23" s="2"/>
      <c r="M23" s="2"/>
      <c r="N23" s="73" t="s">
        <v>961</v>
      </c>
      <c r="O23" s="73"/>
      <c r="P23" s="73"/>
      <c r="Q23" s="2"/>
      <c r="R23" s="2"/>
      <c r="S23" s="67" t="s">
        <v>1183</v>
      </c>
      <c r="T23" s="67" t="s">
        <v>1184</v>
      </c>
      <c r="U23" s="2"/>
      <c r="V23" s="2"/>
      <c r="W23" s="73" t="s">
        <v>3</v>
      </c>
      <c r="X23" s="73" t="s">
        <v>3</v>
      </c>
      <c r="Y23" s="73" t="s">
        <v>3</v>
      </c>
      <c r="Z23" s="73" t="s">
        <v>3</v>
      </c>
      <c r="AA23" s="73" t="s">
        <v>3</v>
      </c>
      <c r="AB23" s="73" t="s">
        <v>3</v>
      </c>
      <c r="AC23" s="73"/>
      <c r="AD23" s="73" t="s">
        <v>1185</v>
      </c>
      <c r="AE23" s="67" t="s">
        <v>1186</v>
      </c>
      <c r="AF23" s="67" t="s">
        <v>1275</v>
      </c>
      <c r="AG23" s="73"/>
      <c r="AH23" s="67" t="s">
        <v>1188</v>
      </c>
      <c r="AI23" s="67"/>
      <c r="AJ23" s="67"/>
      <c r="AK23" s="73"/>
      <c r="AL23" s="67"/>
      <c r="AM23" s="73"/>
      <c r="AN23" s="73" t="s">
        <v>1569</v>
      </c>
      <c r="AO23" s="73" t="s">
        <v>3</v>
      </c>
      <c r="AP23" s="73" t="s">
        <v>3</v>
      </c>
      <c r="AQ23" s="73"/>
      <c r="AR23" s="2"/>
      <c r="AS23" s="2"/>
      <c r="AT23" s="14"/>
      <c r="AU23" s="14" t="s">
        <v>308</v>
      </c>
      <c r="AV23" s="14"/>
      <c r="AW23" s="14"/>
      <c r="AX23" s="14"/>
      <c r="AY23" s="14"/>
      <c r="AZ23" s="14"/>
      <c r="BA23" s="14"/>
      <c r="BB23" s="14"/>
      <c r="BC23" s="2"/>
      <c r="BD23" s="14" t="s">
        <v>3</v>
      </c>
      <c r="BE23" t="s">
        <v>1766</v>
      </c>
    </row>
    <row r="24" spans="1:87" x14ac:dyDescent="0.25">
      <c r="A24" s="2" t="s">
        <v>1228</v>
      </c>
      <c r="B24" s="6">
        <v>1</v>
      </c>
      <c r="C24" t="s">
        <v>3</v>
      </c>
      <c r="D24" s="2" t="s">
        <v>1717</v>
      </c>
      <c r="E24" s="2"/>
      <c r="F24" s="2"/>
      <c r="G24" s="2"/>
      <c r="H24" s="2"/>
      <c r="I24" s="2"/>
      <c r="J24" s="73" t="s">
        <v>785</v>
      </c>
      <c r="K24" s="2"/>
      <c r="L24" s="2"/>
      <c r="M24" s="2"/>
      <c r="N24" s="73" t="s">
        <v>961</v>
      </c>
      <c r="O24" s="73"/>
      <c r="P24" s="73"/>
      <c r="Q24" s="2"/>
      <c r="R24" s="2"/>
      <c r="S24" s="67" t="s">
        <v>1183</v>
      </c>
      <c r="T24" s="67" t="s">
        <v>1184</v>
      </c>
      <c r="U24" s="2"/>
      <c r="V24" s="2"/>
      <c r="W24" s="73" t="s">
        <v>3</v>
      </c>
      <c r="X24" s="73" t="s">
        <v>3</v>
      </c>
      <c r="Y24" s="73" t="s">
        <v>3</v>
      </c>
      <c r="Z24" s="73" t="s">
        <v>3</v>
      </c>
      <c r="AA24" s="73" t="s">
        <v>3</v>
      </c>
      <c r="AB24" s="73" t="s">
        <v>3</v>
      </c>
      <c r="AC24" s="73"/>
      <c r="AD24" s="73" t="s">
        <v>1185</v>
      </c>
      <c r="AE24" s="67" t="s">
        <v>1186</v>
      </c>
      <c r="AF24" s="67" t="s">
        <v>1275</v>
      </c>
      <c r="AG24" s="73"/>
      <c r="AH24" s="67" t="s">
        <v>1188</v>
      </c>
      <c r="AI24" s="67"/>
      <c r="AJ24" s="67"/>
      <c r="AK24" s="73"/>
      <c r="AL24" s="67"/>
      <c r="AM24" s="73"/>
      <c r="AN24" s="73" t="s">
        <v>1569</v>
      </c>
      <c r="AO24" s="73" t="s">
        <v>3</v>
      </c>
      <c r="AP24" s="73" t="s">
        <v>3</v>
      </c>
      <c r="AQ24" s="73"/>
      <c r="AR24" s="2"/>
      <c r="AS24" s="2"/>
      <c r="AT24" s="14"/>
      <c r="AU24" s="14" t="s">
        <v>308</v>
      </c>
      <c r="AV24" s="14"/>
      <c r="AW24" s="14"/>
      <c r="AX24" s="14"/>
      <c r="AY24" s="14"/>
      <c r="AZ24" s="14"/>
      <c r="BA24" s="14"/>
      <c r="BB24" s="14"/>
      <c r="BC24" s="2"/>
      <c r="BD24" s="14" t="s">
        <v>3</v>
      </c>
      <c r="BE24" t="s">
        <v>1769</v>
      </c>
    </row>
    <row r="25" spans="1:87" x14ac:dyDescent="0.25">
      <c r="A25" s="2" t="s">
        <v>1229</v>
      </c>
      <c r="B25" s="6">
        <v>1</v>
      </c>
      <c r="C25" t="s">
        <v>3</v>
      </c>
      <c r="D25" s="2" t="s">
        <v>1280</v>
      </c>
      <c r="E25" s="2"/>
      <c r="F25" s="2"/>
      <c r="G25" s="2"/>
      <c r="H25" s="2"/>
      <c r="I25" s="2"/>
      <c r="J25" s="73" t="s">
        <v>785</v>
      </c>
      <c r="K25" s="2"/>
      <c r="L25" s="2"/>
      <c r="M25" s="2"/>
      <c r="N25" s="73" t="s">
        <v>961</v>
      </c>
      <c r="O25" s="73" t="s">
        <v>308</v>
      </c>
      <c r="P25" s="73" t="s">
        <v>308</v>
      </c>
      <c r="Q25" s="14"/>
      <c r="R25" s="14"/>
      <c r="S25" s="67" t="s">
        <v>1183</v>
      </c>
      <c r="T25" s="67" t="s">
        <v>1184</v>
      </c>
      <c r="U25" s="2"/>
      <c r="V25" s="2"/>
      <c r="W25" s="73" t="s">
        <v>3</v>
      </c>
      <c r="X25" s="73" t="s">
        <v>3</v>
      </c>
      <c r="Y25" s="73" t="s">
        <v>3</v>
      </c>
      <c r="Z25" s="73" t="s">
        <v>3</v>
      </c>
      <c r="AA25" s="73" t="s">
        <v>3</v>
      </c>
      <c r="AB25" s="73" t="s">
        <v>3</v>
      </c>
      <c r="AC25" s="73"/>
      <c r="AD25" s="73" t="s">
        <v>1185</v>
      </c>
      <c r="AE25" s="67" t="s">
        <v>1186</v>
      </c>
      <c r="AF25" s="67" t="s">
        <v>1275</v>
      </c>
      <c r="AG25" s="73"/>
      <c r="AH25" s="67" t="s">
        <v>1188</v>
      </c>
      <c r="AI25" s="67" t="s">
        <v>1189</v>
      </c>
      <c r="AJ25" s="67" t="s">
        <v>1190</v>
      </c>
      <c r="AK25" s="73" t="s">
        <v>864</v>
      </c>
      <c r="AL25" s="67"/>
      <c r="AM25" s="73"/>
      <c r="AN25" s="73" t="s">
        <v>1569</v>
      </c>
      <c r="AO25" s="73" t="s">
        <v>3</v>
      </c>
      <c r="AP25" s="73" t="s">
        <v>3</v>
      </c>
      <c r="AQ25" s="73"/>
      <c r="AR25" s="2"/>
      <c r="AS25" s="2"/>
      <c r="AT25" s="14"/>
      <c r="AU25" s="14" t="s">
        <v>308</v>
      </c>
      <c r="AV25" s="14"/>
      <c r="AW25" s="14"/>
      <c r="AX25" s="14"/>
      <c r="AY25" s="14"/>
      <c r="AZ25" s="14"/>
      <c r="BA25" s="14"/>
      <c r="BB25" s="14"/>
      <c r="BC25" s="2"/>
      <c r="BD25" s="14"/>
      <c r="BE25"/>
    </row>
    <row r="26" spans="1:87" x14ac:dyDescent="0.25">
      <c r="A26" s="2" t="s">
        <v>1230</v>
      </c>
      <c r="B26" s="6">
        <v>1</v>
      </c>
      <c r="C26" t="s">
        <v>3</v>
      </c>
      <c r="D26" s="2" t="s">
        <v>1280</v>
      </c>
      <c r="E26" s="2"/>
      <c r="F26" s="2"/>
      <c r="G26" s="2"/>
      <c r="H26" s="2"/>
      <c r="I26" s="2"/>
      <c r="J26" s="73" t="s">
        <v>785</v>
      </c>
      <c r="K26" s="2"/>
      <c r="L26" s="2"/>
      <c r="M26" s="2"/>
      <c r="N26" s="73" t="s">
        <v>961</v>
      </c>
      <c r="O26" s="73" t="s">
        <v>308</v>
      </c>
      <c r="P26" s="73" t="s">
        <v>308</v>
      </c>
      <c r="Q26" s="14"/>
      <c r="R26" s="14"/>
      <c r="S26" s="67" t="s">
        <v>1183</v>
      </c>
      <c r="T26" s="67" t="s">
        <v>1184</v>
      </c>
      <c r="U26" s="2"/>
      <c r="V26" s="2"/>
      <c r="W26" s="73" t="s">
        <v>3</v>
      </c>
      <c r="X26" s="73" t="s">
        <v>3</v>
      </c>
      <c r="Y26" s="73" t="s">
        <v>3</v>
      </c>
      <c r="Z26" s="73" t="s">
        <v>3</v>
      </c>
      <c r="AA26" s="73" t="s">
        <v>3</v>
      </c>
      <c r="AB26" s="73" t="s">
        <v>3</v>
      </c>
      <c r="AC26" s="73"/>
      <c r="AD26" s="73" t="s">
        <v>1185</v>
      </c>
      <c r="AE26" s="67" t="s">
        <v>1186</v>
      </c>
      <c r="AF26" s="67" t="s">
        <v>1275</v>
      </c>
      <c r="AG26" s="73"/>
      <c r="AH26" s="67" t="s">
        <v>1188</v>
      </c>
      <c r="AI26" s="67" t="s">
        <v>1189</v>
      </c>
      <c r="AJ26" s="67" t="s">
        <v>1190</v>
      </c>
      <c r="AK26" s="73" t="s">
        <v>864</v>
      </c>
      <c r="AL26" s="67"/>
      <c r="AM26" s="73"/>
      <c r="AN26" s="73" t="s">
        <v>1569</v>
      </c>
      <c r="AO26" s="73" t="s">
        <v>3</v>
      </c>
      <c r="AP26" s="73" t="s">
        <v>3</v>
      </c>
      <c r="AQ26" s="73"/>
      <c r="AR26" s="2"/>
      <c r="AS26" s="2"/>
      <c r="AT26" s="14"/>
      <c r="AU26" s="14" t="s">
        <v>308</v>
      </c>
      <c r="AV26" s="14"/>
      <c r="AW26" s="14"/>
      <c r="AX26" s="14"/>
      <c r="AY26" s="14"/>
      <c r="AZ26" s="14"/>
      <c r="BA26" s="14"/>
      <c r="BB26" s="14"/>
      <c r="BC26" s="2"/>
      <c r="BD26" s="14"/>
      <c r="BE26"/>
    </row>
    <row r="27" spans="1:87" x14ac:dyDescent="0.25">
      <c r="A27" s="2" t="s">
        <v>1231</v>
      </c>
      <c r="B27" s="6">
        <v>1</v>
      </c>
      <c r="C27"/>
      <c r="D27" s="2" t="s">
        <v>1984</v>
      </c>
      <c r="E27" s="2"/>
      <c r="F27" s="73" t="s">
        <v>3</v>
      </c>
      <c r="G27" s="73" t="s">
        <v>3</v>
      </c>
      <c r="H27" s="73" t="s">
        <v>3</v>
      </c>
      <c r="I27" s="73" t="s">
        <v>1182</v>
      </c>
      <c r="J27" s="73" t="s">
        <v>785</v>
      </c>
      <c r="K27" s="2" t="s">
        <v>3</v>
      </c>
      <c r="L27" s="73"/>
      <c r="M27" s="73"/>
      <c r="N27" s="73" t="s">
        <v>961</v>
      </c>
      <c r="O27" s="73"/>
      <c r="P27" s="73"/>
      <c r="Q27" s="67"/>
      <c r="R27" s="67"/>
      <c r="S27" s="67" t="s">
        <v>1183</v>
      </c>
      <c r="T27" s="67" t="s">
        <v>1184</v>
      </c>
      <c r="U27" s="67"/>
      <c r="V27" s="67"/>
      <c r="W27" s="73" t="s">
        <v>3</v>
      </c>
      <c r="X27" s="73" t="s">
        <v>3</v>
      </c>
      <c r="Y27" s="73" t="s">
        <v>3</v>
      </c>
      <c r="Z27" s="73" t="s">
        <v>3</v>
      </c>
      <c r="AA27" s="73" t="s">
        <v>3</v>
      </c>
      <c r="AB27" s="73" t="s">
        <v>3</v>
      </c>
      <c r="AC27" s="73"/>
      <c r="AD27" s="73" t="s">
        <v>1185</v>
      </c>
      <c r="AE27" s="67" t="s">
        <v>1186</v>
      </c>
      <c r="AF27" s="67" t="s">
        <v>1187</v>
      </c>
      <c r="AG27" s="73" t="s">
        <v>785</v>
      </c>
      <c r="AH27" s="67"/>
      <c r="AI27" s="67"/>
      <c r="AJ27" s="67"/>
      <c r="AK27" s="73"/>
      <c r="AL27" s="67" t="s">
        <v>1976</v>
      </c>
      <c r="AM27" s="73" t="s">
        <v>3</v>
      </c>
      <c r="AN27" s="73" t="s">
        <v>1991</v>
      </c>
      <c r="AO27" s="73"/>
      <c r="AP27" s="73" t="s">
        <v>3</v>
      </c>
      <c r="AQ27" s="14"/>
      <c r="AR27" s="73"/>
      <c r="AS27" s="73"/>
      <c r="AT27" s="73"/>
      <c r="AU27" s="73" t="s">
        <v>308</v>
      </c>
      <c r="AV27" s="73"/>
      <c r="AW27" s="73"/>
      <c r="AX27" s="73"/>
      <c r="AY27" s="73"/>
      <c r="AZ27" s="73"/>
      <c r="BA27" s="73"/>
      <c r="BB27" s="73"/>
      <c r="BC27" s="2"/>
      <c r="BD27" s="67" t="s">
        <v>3</v>
      </c>
      <c r="BE27" t="s">
        <v>2129</v>
      </c>
      <c r="BF27" s="79"/>
      <c r="BG27" s="79"/>
    </row>
    <row r="28" spans="1:87" x14ac:dyDescent="0.25">
      <c r="A28" s="73" t="s">
        <v>1359</v>
      </c>
      <c r="B28" s="74">
        <v>1</v>
      </c>
      <c r="C28" s="72"/>
      <c r="D28" s="73" t="s">
        <v>2133</v>
      </c>
      <c r="E28" s="73"/>
      <c r="F28" s="73" t="s">
        <v>3</v>
      </c>
      <c r="G28" s="73" t="s">
        <v>3</v>
      </c>
      <c r="H28" s="73" t="s">
        <v>3</v>
      </c>
      <c r="I28" s="73" t="s">
        <v>1182</v>
      </c>
      <c r="J28" s="73" t="s">
        <v>785</v>
      </c>
      <c r="K28" s="73" t="s">
        <v>3</v>
      </c>
      <c r="L28" s="73"/>
      <c r="M28" s="73"/>
      <c r="N28" s="73" t="s">
        <v>961</v>
      </c>
      <c r="O28" s="73"/>
      <c r="P28" s="73"/>
      <c r="Q28" s="67"/>
      <c r="R28" s="67"/>
      <c r="S28" s="67" t="s">
        <v>1183</v>
      </c>
      <c r="T28" s="67" t="s">
        <v>1184</v>
      </c>
      <c r="U28" s="67"/>
      <c r="V28" s="67"/>
      <c r="W28" s="73" t="s">
        <v>3</v>
      </c>
      <c r="X28" s="73" t="s">
        <v>3</v>
      </c>
      <c r="Y28" s="73" t="s">
        <v>3</v>
      </c>
      <c r="Z28" s="73" t="s">
        <v>3</v>
      </c>
      <c r="AA28" s="73" t="s">
        <v>3</v>
      </c>
      <c r="AB28" s="73" t="s">
        <v>3</v>
      </c>
      <c r="AC28" s="73"/>
      <c r="AD28" s="73" t="s">
        <v>1185</v>
      </c>
      <c r="AE28" s="67" t="s">
        <v>1186</v>
      </c>
      <c r="AF28" s="67" t="s">
        <v>1187</v>
      </c>
      <c r="AG28" s="73" t="s">
        <v>785</v>
      </c>
      <c r="AH28" s="67"/>
      <c r="AI28" s="67"/>
      <c r="AJ28" s="67"/>
      <c r="AK28" s="73"/>
      <c r="AL28" s="67" t="s">
        <v>1975</v>
      </c>
      <c r="AM28" s="73" t="s">
        <v>3</v>
      </c>
      <c r="AN28" s="73" t="s">
        <v>1990</v>
      </c>
      <c r="AO28" s="73"/>
      <c r="AP28" s="73" t="s">
        <v>3</v>
      </c>
      <c r="AQ28" s="73"/>
      <c r="AR28" s="73"/>
      <c r="AS28" s="73"/>
      <c r="AT28" s="73"/>
      <c r="AU28" s="73" t="s">
        <v>308</v>
      </c>
      <c r="AV28" s="73"/>
      <c r="AW28" s="73"/>
      <c r="AX28" s="73"/>
      <c r="AY28" s="73"/>
      <c r="AZ28" s="73"/>
      <c r="BA28" s="73"/>
      <c r="BB28" s="73"/>
      <c r="BC28" s="73"/>
      <c r="BD28" s="67" t="s">
        <v>3</v>
      </c>
      <c r="BE28" t="s">
        <v>2136</v>
      </c>
      <c r="CH28"/>
      <c r="CI28"/>
    </row>
    <row r="29" spans="1:87" x14ac:dyDescent="0.25">
      <c r="A29" s="73" t="s">
        <v>2016</v>
      </c>
      <c r="B29" s="74">
        <v>1</v>
      </c>
      <c r="C29" s="72"/>
      <c r="D29" s="73" t="s">
        <v>2133</v>
      </c>
      <c r="E29" s="73"/>
      <c r="F29" s="73" t="s">
        <v>3</v>
      </c>
      <c r="G29" s="73" t="s">
        <v>3</v>
      </c>
      <c r="H29" s="73" t="s">
        <v>3</v>
      </c>
      <c r="I29" s="73" t="s">
        <v>1182</v>
      </c>
      <c r="J29" s="73" t="s">
        <v>785</v>
      </c>
      <c r="K29" s="73" t="s">
        <v>3</v>
      </c>
      <c r="L29" s="73"/>
      <c r="M29" s="73"/>
      <c r="N29" s="73" t="s">
        <v>961</v>
      </c>
      <c r="O29" s="73"/>
      <c r="P29" s="73"/>
      <c r="Q29" s="67"/>
      <c r="R29" s="67"/>
      <c r="S29" s="67" t="s">
        <v>1183</v>
      </c>
      <c r="T29" s="67" t="s">
        <v>1184</v>
      </c>
      <c r="U29" s="67"/>
      <c r="V29" s="67"/>
      <c r="W29" s="73" t="s">
        <v>3</v>
      </c>
      <c r="X29" s="73" t="s">
        <v>3</v>
      </c>
      <c r="Y29" s="73" t="s">
        <v>3</v>
      </c>
      <c r="Z29" s="73" t="s">
        <v>3</v>
      </c>
      <c r="AA29" s="73" t="s">
        <v>3</v>
      </c>
      <c r="AB29" s="73" t="s">
        <v>3</v>
      </c>
      <c r="AC29" s="73"/>
      <c r="AD29" s="73" t="s">
        <v>1185</v>
      </c>
      <c r="AE29" s="67" t="s">
        <v>1186</v>
      </c>
      <c r="AF29" s="67" t="s">
        <v>1187</v>
      </c>
      <c r="AG29" s="73" t="s">
        <v>785</v>
      </c>
      <c r="AH29" s="67"/>
      <c r="AI29" s="67"/>
      <c r="AJ29" s="67"/>
      <c r="AK29" s="73"/>
      <c r="AL29" s="67" t="s">
        <v>1975</v>
      </c>
      <c r="AM29" s="73" t="s">
        <v>3</v>
      </c>
      <c r="AN29" s="73" t="s">
        <v>1990</v>
      </c>
      <c r="AO29" s="73"/>
      <c r="AP29" s="73" t="s">
        <v>3</v>
      </c>
      <c r="AQ29" s="73"/>
      <c r="AR29" s="73"/>
      <c r="AS29" s="73"/>
      <c r="AT29" s="73"/>
      <c r="AU29" s="73" t="s">
        <v>308</v>
      </c>
      <c r="AV29" s="73"/>
      <c r="AW29" s="73"/>
      <c r="AX29" s="73"/>
      <c r="AY29" s="73"/>
      <c r="AZ29" s="73"/>
      <c r="BA29" s="73"/>
      <c r="BB29" s="73"/>
      <c r="BC29" s="73"/>
      <c r="BD29" s="67" t="s">
        <v>3</v>
      </c>
      <c r="BE29" t="s">
        <v>2141</v>
      </c>
      <c r="CH29"/>
      <c r="CI29"/>
    </row>
    <row r="30" spans="1:87" x14ac:dyDescent="0.25">
      <c r="A30" s="73" t="s">
        <v>2017</v>
      </c>
      <c r="B30" s="74">
        <v>1</v>
      </c>
      <c r="C30" s="72"/>
      <c r="D30" s="73" t="s">
        <v>2149</v>
      </c>
      <c r="E30" s="73"/>
      <c r="F30" s="73" t="s">
        <v>3</v>
      </c>
      <c r="G30" s="73" t="s">
        <v>3</v>
      </c>
      <c r="H30" s="73" t="s">
        <v>3</v>
      </c>
      <c r="I30" s="73" t="s">
        <v>1182</v>
      </c>
      <c r="J30" s="73" t="s">
        <v>785</v>
      </c>
      <c r="K30" s="73" t="s">
        <v>3</v>
      </c>
      <c r="L30" s="73"/>
      <c r="M30" s="73"/>
      <c r="N30" s="73" t="s">
        <v>961</v>
      </c>
      <c r="O30" s="73"/>
      <c r="P30" s="73"/>
      <c r="Q30" s="67"/>
      <c r="R30" s="67"/>
      <c r="S30" s="67" t="s">
        <v>1183</v>
      </c>
      <c r="T30" s="67" t="s">
        <v>1184</v>
      </c>
      <c r="U30" s="67"/>
      <c r="V30" s="67"/>
      <c r="W30" s="73" t="s">
        <v>3</v>
      </c>
      <c r="X30" s="73" t="s">
        <v>3</v>
      </c>
      <c r="Y30" s="73" t="s">
        <v>3</v>
      </c>
      <c r="Z30" s="73" t="s">
        <v>3</v>
      </c>
      <c r="AA30" s="73" t="s">
        <v>3</v>
      </c>
      <c r="AB30" s="73" t="s">
        <v>3</v>
      </c>
      <c r="AC30" s="73"/>
      <c r="AD30" s="73" t="s">
        <v>1185</v>
      </c>
      <c r="AE30" s="67" t="s">
        <v>1186</v>
      </c>
      <c r="AF30" s="67" t="s">
        <v>1187</v>
      </c>
      <c r="AG30" s="73" t="s">
        <v>785</v>
      </c>
      <c r="AH30" s="67"/>
      <c r="AI30" s="67"/>
      <c r="AJ30" s="67"/>
      <c r="AK30" s="73"/>
      <c r="AL30" s="67" t="s">
        <v>1975</v>
      </c>
      <c r="AM30" s="73" t="s">
        <v>3</v>
      </c>
      <c r="AN30" s="73" t="s">
        <v>1990</v>
      </c>
      <c r="AO30" s="73"/>
      <c r="AP30" s="73" t="s">
        <v>3</v>
      </c>
      <c r="AQ30" s="73"/>
      <c r="AR30" s="73"/>
      <c r="AS30" s="73"/>
      <c r="AT30" s="73"/>
      <c r="AU30" s="73" t="s">
        <v>308</v>
      </c>
      <c r="AV30" s="73"/>
      <c r="AW30" s="73"/>
      <c r="AX30" s="73"/>
      <c r="AY30" s="73"/>
      <c r="AZ30" s="73"/>
      <c r="BA30" s="73"/>
      <c r="BB30" s="73"/>
      <c r="BC30" s="73"/>
      <c r="BD30" s="67" t="s">
        <v>3</v>
      </c>
      <c r="BE30" t="s">
        <v>2151</v>
      </c>
      <c r="CH30"/>
      <c r="CI30"/>
    </row>
    <row r="31" spans="1:87" x14ac:dyDescent="0.25">
      <c r="A31" s="73" t="s">
        <v>2018</v>
      </c>
      <c r="B31" s="74">
        <v>1</v>
      </c>
      <c r="C31" s="72"/>
      <c r="D31" s="73" t="s">
        <v>2154</v>
      </c>
      <c r="E31" s="73"/>
      <c r="F31" s="73" t="s">
        <v>3</v>
      </c>
      <c r="G31" s="73" t="s">
        <v>3</v>
      </c>
      <c r="H31" s="73" t="s">
        <v>3</v>
      </c>
      <c r="I31" s="73" t="s">
        <v>1182</v>
      </c>
      <c r="J31" s="73" t="s">
        <v>785</v>
      </c>
      <c r="K31" s="73" t="s">
        <v>3</v>
      </c>
      <c r="L31" s="73"/>
      <c r="M31" s="73"/>
      <c r="N31" s="73" t="s">
        <v>961</v>
      </c>
      <c r="O31" s="73"/>
      <c r="P31" s="73"/>
      <c r="Q31" s="67"/>
      <c r="R31" s="67"/>
      <c r="S31" s="67" t="s">
        <v>1183</v>
      </c>
      <c r="T31" s="67" t="s">
        <v>1184</v>
      </c>
      <c r="U31" s="67"/>
      <c r="V31" s="67"/>
      <c r="W31" s="73" t="s">
        <v>3</v>
      </c>
      <c r="X31" s="73" t="s">
        <v>3</v>
      </c>
      <c r="Y31" s="73" t="s">
        <v>3</v>
      </c>
      <c r="Z31" s="73" t="s">
        <v>3</v>
      </c>
      <c r="AA31" s="73" t="s">
        <v>3</v>
      </c>
      <c r="AB31" s="73" t="s">
        <v>3</v>
      </c>
      <c r="AC31" s="73"/>
      <c r="AD31" s="73" t="s">
        <v>1185</v>
      </c>
      <c r="AE31" s="67" t="s">
        <v>1186</v>
      </c>
      <c r="AF31" s="67" t="s">
        <v>1187</v>
      </c>
      <c r="AG31" s="73" t="s">
        <v>785</v>
      </c>
      <c r="AH31" s="67"/>
      <c r="AI31" s="67"/>
      <c r="AJ31" s="67"/>
      <c r="AK31" s="73"/>
      <c r="AL31" s="67" t="s">
        <v>1975</v>
      </c>
      <c r="AM31" s="73" t="s">
        <v>3</v>
      </c>
      <c r="AN31" s="73" t="s">
        <v>1990</v>
      </c>
      <c r="AO31" s="73"/>
      <c r="AP31" s="73" t="s">
        <v>3</v>
      </c>
      <c r="AQ31" s="73"/>
      <c r="AR31" s="73"/>
      <c r="AS31" s="73"/>
      <c r="AT31" s="73"/>
      <c r="AU31" s="73" t="s">
        <v>308</v>
      </c>
      <c r="AV31" s="73"/>
      <c r="AW31" s="73"/>
      <c r="AX31" s="73"/>
      <c r="AY31" s="73"/>
      <c r="AZ31" s="73"/>
      <c r="BA31" s="73"/>
      <c r="BB31" s="73"/>
      <c r="BC31" s="73"/>
      <c r="BD31" s="67" t="s">
        <v>3</v>
      </c>
      <c r="BE31" t="s">
        <v>2156</v>
      </c>
      <c r="CH31"/>
      <c r="CI31"/>
    </row>
    <row r="32" spans="1:87" x14ac:dyDescent="0.25">
      <c r="A32" s="73" t="s">
        <v>2019</v>
      </c>
      <c r="B32" s="74">
        <v>1</v>
      </c>
      <c r="C32" s="72"/>
      <c r="D32" s="73" t="s">
        <v>2159</v>
      </c>
      <c r="E32" s="73"/>
      <c r="F32" s="73" t="s">
        <v>3</v>
      </c>
      <c r="G32" s="73" t="s">
        <v>3</v>
      </c>
      <c r="H32" s="73" t="s">
        <v>3</v>
      </c>
      <c r="I32" s="73" t="s">
        <v>1182</v>
      </c>
      <c r="J32" s="73" t="s">
        <v>785</v>
      </c>
      <c r="K32" s="73" t="s">
        <v>3</v>
      </c>
      <c r="L32" s="73"/>
      <c r="M32" s="73"/>
      <c r="N32" s="73" t="s">
        <v>961</v>
      </c>
      <c r="O32" s="73"/>
      <c r="P32" s="73"/>
      <c r="Q32" s="67"/>
      <c r="R32" s="67"/>
      <c r="S32" s="67" t="s">
        <v>1183</v>
      </c>
      <c r="T32" s="67" t="s">
        <v>1184</v>
      </c>
      <c r="U32" s="67"/>
      <c r="V32" s="67"/>
      <c r="W32" s="73" t="s">
        <v>3</v>
      </c>
      <c r="X32" s="73" t="s">
        <v>3</v>
      </c>
      <c r="Y32" s="73" t="s">
        <v>3</v>
      </c>
      <c r="Z32" s="73" t="s">
        <v>3</v>
      </c>
      <c r="AA32" s="73" t="s">
        <v>3</v>
      </c>
      <c r="AB32" s="73" t="s">
        <v>3</v>
      </c>
      <c r="AC32" s="73"/>
      <c r="AD32" s="73" t="s">
        <v>1185</v>
      </c>
      <c r="AE32" s="67" t="s">
        <v>1186</v>
      </c>
      <c r="AF32" s="67" t="s">
        <v>1187</v>
      </c>
      <c r="AG32" s="73" t="s">
        <v>785</v>
      </c>
      <c r="AH32" s="67"/>
      <c r="AI32" s="67"/>
      <c r="AJ32" s="67"/>
      <c r="AK32" s="73"/>
      <c r="AL32" s="67" t="s">
        <v>1975</v>
      </c>
      <c r="AM32" s="73" t="s">
        <v>3</v>
      </c>
      <c r="AN32" s="73" t="s">
        <v>1990</v>
      </c>
      <c r="AO32" s="73"/>
      <c r="AP32" s="73" t="s">
        <v>3</v>
      </c>
      <c r="AQ32" s="73"/>
      <c r="AR32" s="73"/>
      <c r="AS32" s="73"/>
      <c r="AT32" s="73"/>
      <c r="AU32" s="73" t="s">
        <v>308</v>
      </c>
      <c r="AV32" s="73"/>
      <c r="AW32" s="73"/>
      <c r="AX32" s="73"/>
      <c r="AY32" s="73"/>
      <c r="AZ32" s="73"/>
      <c r="BA32" s="73"/>
      <c r="BB32" s="73"/>
      <c r="BC32" s="73"/>
      <c r="BD32" s="67" t="s">
        <v>3</v>
      </c>
      <c r="BE32" t="s">
        <v>2161</v>
      </c>
      <c r="CH32"/>
      <c r="CI32"/>
    </row>
    <row r="33" spans="1:87" x14ac:dyDescent="0.25">
      <c r="A33" s="73" t="s">
        <v>2020</v>
      </c>
      <c r="B33" s="74">
        <v>1</v>
      </c>
      <c r="C33" s="72"/>
      <c r="D33" s="73" t="s">
        <v>2166</v>
      </c>
      <c r="E33" s="73"/>
      <c r="F33" s="73" t="s">
        <v>3</v>
      </c>
      <c r="G33" s="73" t="s">
        <v>3</v>
      </c>
      <c r="H33" s="73" t="s">
        <v>3</v>
      </c>
      <c r="I33" s="73" t="s">
        <v>1182</v>
      </c>
      <c r="J33" s="73" t="s">
        <v>785</v>
      </c>
      <c r="K33" s="73" t="s">
        <v>3</v>
      </c>
      <c r="L33" s="73"/>
      <c r="M33" s="73"/>
      <c r="N33" s="73" t="s">
        <v>961</v>
      </c>
      <c r="O33" s="73"/>
      <c r="P33" s="73"/>
      <c r="Q33" s="67"/>
      <c r="R33" s="67"/>
      <c r="S33" s="67" t="s">
        <v>1183</v>
      </c>
      <c r="T33" s="67" t="s">
        <v>1184</v>
      </c>
      <c r="U33" s="67"/>
      <c r="V33" s="67"/>
      <c r="W33" s="73" t="s">
        <v>3</v>
      </c>
      <c r="X33" s="73" t="s">
        <v>3</v>
      </c>
      <c r="Y33" s="73" t="s">
        <v>3</v>
      </c>
      <c r="Z33" s="73" t="s">
        <v>3</v>
      </c>
      <c r="AA33" s="73" t="s">
        <v>3</v>
      </c>
      <c r="AB33" s="73" t="s">
        <v>3</v>
      </c>
      <c r="AC33" s="73"/>
      <c r="AD33" s="73" t="s">
        <v>1185</v>
      </c>
      <c r="AE33" s="67" t="s">
        <v>1186</v>
      </c>
      <c r="AF33" s="67" t="s">
        <v>1187</v>
      </c>
      <c r="AG33" s="73" t="s">
        <v>785</v>
      </c>
      <c r="AH33" s="67"/>
      <c r="AI33" s="67"/>
      <c r="AJ33" s="67"/>
      <c r="AK33" s="73"/>
      <c r="AL33" s="67" t="s">
        <v>1975</v>
      </c>
      <c r="AM33" s="73" t="s">
        <v>3</v>
      </c>
      <c r="AN33" s="73" t="s">
        <v>1990</v>
      </c>
      <c r="AO33" s="73"/>
      <c r="AP33" s="73" t="s">
        <v>3</v>
      </c>
      <c r="AQ33" s="73"/>
      <c r="AR33" s="73"/>
      <c r="AS33" s="73"/>
      <c r="AT33" s="73"/>
      <c r="AU33" s="73" t="s">
        <v>308</v>
      </c>
      <c r="AV33" s="73"/>
      <c r="AW33" s="73"/>
      <c r="AX33" s="73"/>
      <c r="AY33" s="73"/>
      <c r="AZ33" s="73"/>
      <c r="BA33" s="73"/>
      <c r="BB33" s="73"/>
      <c r="BC33" s="73"/>
      <c r="BD33" s="67" t="s">
        <v>3</v>
      </c>
      <c r="BE33" t="s">
        <v>2168</v>
      </c>
      <c r="CH33"/>
      <c r="CI33"/>
    </row>
    <row r="34" spans="1:87" x14ac:dyDescent="0.25">
      <c r="A34" s="73" t="s">
        <v>2021</v>
      </c>
      <c r="B34" s="74">
        <v>1</v>
      </c>
      <c r="C34" s="72"/>
      <c r="D34" s="73" t="s">
        <v>1181</v>
      </c>
      <c r="E34" s="73"/>
      <c r="F34" s="73" t="s">
        <v>3</v>
      </c>
      <c r="G34" s="73" t="s">
        <v>3</v>
      </c>
      <c r="H34" s="73" t="s">
        <v>3</v>
      </c>
      <c r="I34" s="73" t="s">
        <v>1182</v>
      </c>
      <c r="J34" s="73" t="s">
        <v>785</v>
      </c>
      <c r="K34" s="73" t="s">
        <v>3</v>
      </c>
      <c r="L34" s="73"/>
      <c r="M34" s="73"/>
      <c r="N34" s="73" t="s">
        <v>961</v>
      </c>
      <c r="O34" s="73"/>
      <c r="P34" s="73"/>
      <c r="Q34" s="67"/>
      <c r="R34" s="67"/>
      <c r="S34" s="67" t="s">
        <v>1183</v>
      </c>
      <c r="T34" s="67" t="s">
        <v>1184</v>
      </c>
      <c r="U34" s="67"/>
      <c r="V34" s="67"/>
      <c r="W34" s="73" t="s">
        <v>3</v>
      </c>
      <c r="X34" s="73" t="s">
        <v>3</v>
      </c>
      <c r="Y34" s="73" t="s">
        <v>3</v>
      </c>
      <c r="Z34" s="73" t="s">
        <v>3</v>
      </c>
      <c r="AA34" s="73" t="s">
        <v>3</v>
      </c>
      <c r="AB34" s="73" t="s">
        <v>3</v>
      </c>
      <c r="AC34" s="73"/>
      <c r="AD34" s="73" t="s">
        <v>1185</v>
      </c>
      <c r="AE34" s="67" t="s">
        <v>1186</v>
      </c>
      <c r="AF34" s="67" t="s">
        <v>1187</v>
      </c>
      <c r="AG34" s="73" t="s">
        <v>785</v>
      </c>
      <c r="AH34" s="67"/>
      <c r="AI34" s="67"/>
      <c r="AJ34" s="67"/>
      <c r="AK34" s="73"/>
      <c r="AL34" s="67" t="s">
        <v>1975</v>
      </c>
      <c r="AM34" s="73" t="s">
        <v>3</v>
      </c>
      <c r="AN34" s="73" t="s">
        <v>1990</v>
      </c>
      <c r="AO34" s="73"/>
      <c r="AP34" s="73" t="s">
        <v>3</v>
      </c>
      <c r="AQ34" s="73"/>
      <c r="AR34" s="73"/>
      <c r="AS34" s="73"/>
      <c r="AT34" s="73"/>
      <c r="AU34" s="73" t="s">
        <v>308</v>
      </c>
      <c r="AV34" s="73"/>
      <c r="AW34" s="73"/>
      <c r="AX34" s="73"/>
      <c r="AY34" s="73"/>
      <c r="AZ34" s="73"/>
      <c r="BA34" s="73"/>
      <c r="BB34" s="73"/>
      <c r="BC34" s="73"/>
      <c r="BD34" s="67" t="s">
        <v>3</v>
      </c>
      <c r="BE34" t="s">
        <v>2172</v>
      </c>
      <c r="CH34"/>
      <c r="CI34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3"/>
  <sheetViews>
    <sheetView zoomScale="85" zoomScaleNormal="85" workbookViewId="0">
      <pane xSplit="2" ySplit="1" topLeftCell="M2" activePane="bottomRight" state="frozen"/>
      <selection activeCell="A2" sqref="A2"/>
      <selection pane="topRight" activeCell="A2" sqref="A2"/>
      <selection pane="bottomLeft" activeCell="A2" sqref="A2"/>
      <selection pane="bottomRight" activeCell="X3" sqref="X3"/>
    </sheetView>
  </sheetViews>
  <sheetFormatPr defaultRowHeight="15" x14ac:dyDescent="0.25"/>
  <cols>
    <col min="1" max="1" width="6.28515625" style="1" customWidth="1" collapsed="1"/>
    <col min="2" max="2" width="8.7109375" style="1" bestFit="1" customWidth="1" collapsed="1"/>
    <col min="3" max="3" width="9.7109375" style="1" customWidth="1" collapsed="1"/>
    <col min="4" max="4" width="31.7109375" style="1" bestFit="1" customWidth="1" collapsed="1"/>
    <col min="5" max="5" width="9.7109375" style="1" customWidth="1" collapsed="1"/>
    <col min="6" max="6" width="10.28515625" style="1" bestFit="1" customWidth="1" collapsed="1"/>
    <col min="7" max="7" width="8.140625" style="1" customWidth="1" collapsed="1"/>
    <col min="8" max="8" width="10.28515625" style="1" customWidth="1" collapsed="1"/>
    <col min="9" max="9" width="28.5703125" style="1" bestFit="1" customWidth="1" collapsed="1"/>
    <col min="10" max="10" width="23" style="1" bestFit="1" customWidth="1" collapsed="1"/>
    <col min="11" max="11" width="28.7109375" style="1" bestFit="1" customWidth="1" collapsed="1"/>
    <col min="12" max="12" width="15.85546875" style="1" bestFit="1" customWidth="1" collapsed="1"/>
    <col min="13" max="13" width="20.5703125" style="1" bestFit="1" customWidth="1" collapsed="1"/>
    <col min="14" max="14" width="15.42578125" style="1" bestFit="1" customWidth="1" collapsed="1"/>
    <col min="15" max="15" width="13.85546875" style="1" bestFit="1" customWidth="1" collapsed="1"/>
    <col min="16" max="17" width="13.85546875" style="1" customWidth="1" collapsed="1"/>
    <col min="18" max="18" width="15.85546875" style="1" bestFit="1" customWidth="1" collapsed="1"/>
    <col min="19" max="19" width="21.7109375" style="1" bestFit="1" customWidth="1" collapsed="1"/>
    <col min="20" max="20" width="21.7109375" style="1" customWidth="1" collapsed="1"/>
    <col min="21" max="21" width="14.28515625" style="1" bestFit="1" customWidth="1" collapsed="1"/>
    <col min="22" max="22" width="14.7109375" style="1" bestFit="1" customWidth="1" collapsed="1"/>
    <col min="23" max="23" width="14" style="1" customWidth="1" collapsed="1"/>
    <col min="24" max="24" width="12.5703125" style="1" customWidth="1" collapsed="1"/>
    <col min="25" max="25" width="12.28515625" style="1" customWidth="1" collapsed="1"/>
    <col min="26" max="26" width="16.140625" style="1" customWidth="1" collapsed="1"/>
    <col min="27" max="27" width="19.42578125" style="1" customWidth="1" collapsed="1"/>
    <col min="28" max="28" width="10" style="1" bestFit="1" customWidth="1" collapsed="1"/>
    <col min="29" max="29" width="21" style="1" customWidth="1" collapsed="1"/>
    <col min="30" max="30" width="24.42578125" style="1" customWidth="1" collapsed="1"/>
    <col min="31" max="31" width="124" style="1" bestFit="1" customWidth="1" collapsed="1"/>
    <col min="32" max="16384" width="9.140625" style="1" collapsed="1"/>
  </cols>
  <sheetData>
    <row r="1" spans="1:31" x14ac:dyDescent="0.25">
      <c r="A1" s="4" t="s">
        <v>0</v>
      </c>
      <c r="B1" s="5" t="s">
        <v>18</v>
      </c>
      <c r="C1" s="5" t="s">
        <v>158</v>
      </c>
      <c r="D1" s="5" t="s">
        <v>340</v>
      </c>
      <c r="E1" s="5" t="s">
        <v>43</v>
      </c>
      <c r="F1" s="5" t="s">
        <v>210</v>
      </c>
      <c r="G1" s="5" t="s">
        <v>214</v>
      </c>
      <c r="H1" s="5" t="s">
        <v>213</v>
      </c>
      <c r="I1" s="5" t="s">
        <v>227</v>
      </c>
      <c r="J1" s="5" t="s">
        <v>216</v>
      </c>
      <c r="K1" s="5" t="s">
        <v>218</v>
      </c>
      <c r="L1" s="5" t="s">
        <v>229</v>
      </c>
      <c r="M1" s="5" t="s">
        <v>230</v>
      </c>
      <c r="N1" s="5" t="s">
        <v>753</v>
      </c>
      <c r="O1" s="5" t="s">
        <v>219</v>
      </c>
      <c r="P1" s="5" t="s">
        <v>754</v>
      </c>
      <c r="Q1" s="5" t="s">
        <v>760</v>
      </c>
      <c r="R1" s="5" t="s">
        <v>755</v>
      </c>
      <c r="S1" s="5" t="s">
        <v>757</v>
      </c>
      <c r="T1" s="5" t="s">
        <v>759</v>
      </c>
      <c r="U1" s="5" t="s">
        <v>220</v>
      </c>
      <c r="V1" s="5" t="s">
        <v>221</v>
      </c>
      <c r="W1" s="5" t="s">
        <v>226</v>
      </c>
      <c r="X1" s="5" t="s">
        <v>257</v>
      </c>
      <c r="Y1" s="5" t="s">
        <v>222</v>
      </c>
      <c r="Z1" s="5" t="s">
        <v>223</v>
      </c>
      <c r="AA1" s="5" t="s">
        <v>258</v>
      </c>
      <c r="AB1" s="5" t="s">
        <v>224</v>
      </c>
      <c r="AC1" s="5" t="s">
        <v>228</v>
      </c>
      <c r="AD1" s="5" t="s">
        <v>217</v>
      </c>
      <c r="AE1" s="5" t="s">
        <v>204</v>
      </c>
    </row>
    <row r="2" spans="1:31" x14ac:dyDescent="0.25">
      <c r="A2" s="2" t="s">
        <v>189</v>
      </c>
      <c r="B2" s="6">
        <v>1</v>
      </c>
      <c r="C2" s="6" t="s">
        <v>3</v>
      </c>
      <c r="D2"/>
      <c r="E2"/>
      <c r="F2"/>
      <c r="G2"/>
      <c r="H2"/>
      <c r="I2" s="6" t="s">
        <v>730</v>
      </c>
      <c r="J2" t="s">
        <v>729</v>
      </c>
      <c r="K2" s="6" t="s">
        <v>3</v>
      </c>
      <c r="L2"/>
      <c r="M2"/>
      <c r="N2" s="6" t="s">
        <v>660</v>
      </c>
      <c r="O2" s="6"/>
      <c r="P2" s="6"/>
      <c r="Q2" s="6"/>
      <c r="R2" s="6"/>
      <c r="S2" s="6"/>
      <c r="T2" s="6"/>
      <c r="U2" s="12"/>
      <c r="V2"/>
      <c r="W2"/>
      <c r="X2"/>
      <c r="Y2"/>
      <c r="Z2"/>
      <c r="AA2"/>
      <c r="AB2"/>
      <c r="AC2"/>
      <c r="AD2" s="6" t="s">
        <v>3</v>
      </c>
      <c r="AE2" s="28"/>
    </row>
    <row r="3" spans="1:31" x14ac:dyDescent="0.25">
      <c r="A3" s="2" t="s">
        <v>190</v>
      </c>
      <c r="B3" s="6">
        <v>1</v>
      </c>
      <c r="C3" s="6" t="s">
        <v>3</v>
      </c>
      <c r="D3"/>
      <c r="E3"/>
      <c r="F3"/>
      <c r="G3"/>
      <c r="H3"/>
      <c r="I3" s="6" t="s">
        <v>752</v>
      </c>
      <c r="J3"/>
      <c r="K3" s="6"/>
      <c r="L3"/>
      <c r="M3"/>
      <c r="N3" s="6"/>
      <c r="O3" s="6"/>
      <c r="P3" s="6" t="s">
        <v>3</v>
      </c>
      <c r="Q3" s="6" t="s">
        <v>661</v>
      </c>
      <c r="R3" s="6" t="s">
        <v>756</v>
      </c>
      <c r="S3" s="6" t="s">
        <v>758</v>
      </c>
      <c r="T3" s="6" t="s">
        <v>3</v>
      </c>
      <c r="U3" s="12"/>
      <c r="V3"/>
      <c r="W3"/>
      <c r="X3"/>
      <c r="Y3"/>
      <c r="Z3"/>
      <c r="AA3"/>
      <c r="AB3"/>
      <c r="AC3"/>
      <c r="AD3" s="6" t="s">
        <v>3</v>
      </c>
      <c r="AE3" s="28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S50"/>
  <sheetViews>
    <sheetView topLeftCell="A22" zoomScale="85" zoomScaleNormal="85" workbookViewId="0">
      <selection activeCell="A49" sqref="A49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0.42578125" style="1" bestFit="1" customWidth="1" collapsed="1"/>
    <col min="4" max="4" width="18.42578125" style="1" bestFit="1" customWidth="1" collapsed="1"/>
    <col min="5" max="5" width="21.42578125" style="1" bestFit="1" customWidth="1" collapsed="1"/>
    <col min="6" max="6" width="20.85546875" style="1" bestFit="1" customWidth="1" collapsed="1"/>
    <col min="7" max="7" width="15.85546875" style="1" bestFit="1" customWidth="1" collapsed="1"/>
    <col min="8" max="8" width="15.42578125" style="1" bestFit="1" customWidth="1" collapsed="1"/>
    <col min="9" max="9" width="19.140625" style="1" bestFit="1" customWidth="1" collapsed="1"/>
    <col min="10" max="10" width="10.5703125" style="1" bestFit="1" customWidth="1" collapsed="1"/>
    <col min="11" max="11" width="23" style="1" bestFit="1" customWidth="1" collapsed="1"/>
    <col min="12" max="12" width="18" style="1" bestFit="1" customWidth="1" collapsed="1"/>
    <col min="13" max="13" width="16" style="1" bestFit="1" customWidth="1" collapsed="1"/>
    <col min="14" max="14" width="18.42578125" style="1" customWidth="1" collapsed="1"/>
    <col min="15" max="15" width="30.140625" style="1" customWidth="1" collapsed="1"/>
    <col min="16" max="16" width="18.7109375" style="1" bestFit="1" customWidth="1" collapsed="1"/>
    <col min="17" max="18" width="15.140625" style="1" customWidth="1" collapsed="1"/>
    <col min="19" max="19" width="23.85546875" style="1" bestFit="1" customWidth="1" collapsed="1"/>
    <col min="20" max="16384" width="9.140625" style="1" collapsed="1"/>
  </cols>
  <sheetData>
    <row r="1" spans="1:19" x14ac:dyDescent="0.25">
      <c r="A1" s="4" t="s">
        <v>0</v>
      </c>
      <c r="B1" s="5" t="s">
        <v>18</v>
      </c>
      <c r="C1" s="5" t="s">
        <v>69</v>
      </c>
      <c r="D1" s="5" t="s">
        <v>68</v>
      </c>
      <c r="E1" s="5" t="s">
        <v>67</v>
      </c>
      <c r="F1" s="5" t="s">
        <v>66</v>
      </c>
      <c r="G1" s="5" t="s">
        <v>65</v>
      </c>
      <c r="H1" s="5" t="s">
        <v>64</v>
      </c>
      <c r="I1" s="5" t="s">
        <v>63</v>
      </c>
      <c r="J1" s="5" t="s">
        <v>124</v>
      </c>
      <c r="K1" s="5" t="s">
        <v>303</v>
      </c>
      <c r="L1" s="5" t="s">
        <v>125</v>
      </c>
      <c r="M1" s="5" t="s">
        <v>88</v>
      </c>
      <c r="N1" s="5" t="s">
        <v>309</v>
      </c>
      <c r="O1" s="5" t="s">
        <v>304</v>
      </c>
      <c r="P1" s="5" t="s">
        <v>292</v>
      </c>
      <c r="Q1" s="5" t="s">
        <v>301</v>
      </c>
      <c r="R1" s="5" t="s">
        <v>302</v>
      </c>
      <c r="S1" s="9" t="s">
        <v>212</v>
      </c>
    </row>
    <row r="2" spans="1:19" x14ac:dyDescent="0.25">
      <c r="A2" s="2" t="s">
        <v>1</v>
      </c>
      <c r="B2" s="2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x14ac:dyDescent="0.25">
      <c r="A3" s="2" t="s">
        <v>2</v>
      </c>
      <c r="B3" s="2">
        <v>1</v>
      </c>
      <c r="C3" s="6" t="s">
        <v>3</v>
      </c>
      <c r="D3" s="6" t="s">
        <v>3</v>
      </c>
      <c r="E3" s="6"/>
      <c r="F3" s="2"/>
      <c r="G3" s="6"/>
      <c r="H3" s="6"/>
      <c r="I3" s="12"/>
      <c r="J3" s="22"/>
      <c r="K3" s="22" t="s">
        <v>3</v>
      </c>
      <c r="L3" s="12" t="s">
        <v>126</v>
      </c>
      <c r="M3" s="12" t="s">
        <v>89</v>
      </c>
      <c r="N3" s="6" t="s">
        <v>311</v>
      </c>
      <c r="O3" s="2" t="s">
        <v>307</v>
      </c>
      <c r="P3" s="6"/>
      <c r="Q3" s="6"/>
      <c r="R3" s="6"/>
      <c r="S3" s="2"/>
    </row>
    <row r="4" spans="1:19" x14ac:dyDescent="0.25">
      <c r="A4" s="2" t="s">
        <v>16</v>
      </c>
      <c r="B4" s="2">
        <v>1</v>
      </c>
      <c r="C4" s="6" t="s">
        <v>3</v>
      </c>
      <c r="D4" s="6" t="s">
        <v>3</v>
      </c>
      <c r="E4" s="6"/>
      <c r="F4" s="2"/>
      <c r="G4" s="6"/>
      <c r="H4" s="6"/>
      <c r="I4" s="12"/>
      <c r="J4" s="22"/>
      <c r="K4" s="22" t="s">
        <v>3</v>
      </c>
      <c r="L4" s="12" t="s">
        <v>126</v>
      </c>
      <c r="M4" s="12" t="s">
        <v>89</v>
      </c>
      <c r="N4" s="6" t="s">
        <v>311</v>
      </c>
      <c r="O4" s="2" t="s">
        <v>307</v>
      </c>
      <c r="P4" s="6"/>
      <c r="Q4" s="6"/>
      <c r="R4" s="6"/>
      <c r="S4" s="2"/>
    </row>
    <row r="5" spans="1:19" x14ac:dyDescent="0.25">
      <c r="A5" s="2" t="s">
        <v>114</v>
      </c>
      <c r="B5" s="2">
        <v>1</v>
      </c>
      <c r="C5" s="6" t="s">
        <v>3</v>
      </c>
      <c r="D5" s="6" t="s">
        <v>3</v>
      </c>
      <c r="E5" s="6"/>
      <c r="F5" s="2"/>
      <c r="G5" s="6"/>
      <c r="H5" s="6"/>
      <c r="I5" s="12"/>
      <c r="J5" s="22"/>
      <c r="K5" s="22" t="s">
        <v>3</v>
      </c>
      <c r="L5" s="12" t="s">
        <v>126</v>
      </c>
      <c r="M5" s="12" t="s">
        <v>89</v>
      </c>
      <c r="N5" s="6" t="s">
        <v>311</v>
      </c>
      <c r="O5" s="2" t="s">
        <v>307</v>
      </c>
      <c r="P5" s="6"/>
      <c r="Q5" s="6"/>
      <c r="R5" s="6"/>
      <c r="S5" s="2"/>
    </row>
    <row r="6" spans="1:19" x14ac:dyDescent="0.25">
      <c r="A6" s="2" t="s">
        <v>248</v>
      </c>
      <c r="B6" s="2">
        <v>1</v>
      </c>
      <c r="C6" s="6" t="s">
        <v>3</v>
      </c>
      <c r="D6" s="6" t="s">
        <v>3</v>
      </c>
      <c r="E6" s="6"/>
      <c r="F6" s="2"/>
      <c r="G6" s="6"/>
      <c r="H6" s="6"/>
      <c r="I6" s="12"/>
      <c r="J6" s="22"/>
      <c r="K6" s="22" t="s">
        <v>3</v>
      </c>
      <c r="L6" s="12" t="s">
        <v>126</v>
      </c>
      <c r="M6" s="12" t="s">
        <v>89</v>
      </c>
      <c r="N6" s="6" t="s">
        <v>311</v>
      </c>
      <c r="O6" s="2" t="s">
        <v>307</v>
      </c>
      <c r="P6" s="6"/>
      <c r="Q6" s="6"/>
      <c r="R6" s="6"/>
      <c r="S6" s="2"/>
    </row>
    <row r="7" spans="1:19" x14ac:dyDescent="0.25">
      <c r="A7" s="2" t="s">
        <v>249</v>
      </c>
      <c r="B7" s="2">
        <v>1</v>
      </c>
      <c r="C7" s="6" t="s">
        <v>3</v>
      </c>
      <c r="D7" s="6" t="s">
        <v>3</v>
      </c>
      <c r="E7" s="6"/>
      <c r="F7" s="2"/>
      <c r="G7" s="6"/>
      <c r="H7" s="6"/>
      <c r="I7" s="12"/>
      <c r="J7" s="22"/>
      <c r="K7" s="22" t="s">
        <v>3</v>
      </c>
      <c r="L7" s="12" t="s">
        <v>126</v>
      </c>
      <c r="M7" s="12" t="s">
        <v>89</v>
      </c>
      <c r="N7" s="6" t="s">
        <v>310</v>
      </c>
      <c r="O7" s="2" t="s">
        <v>581</v>
      </c>
      <c r="P7" s="6"/>
      <c r="Q7" s="6"/>
      <c r="R7" s="6"/>
      <c r="S7" s="2"/>
    </row>
    <row r="8" spans="1:19" x14ac:dyDescent="0.25">
      <c r="A8" s="2" t="s">
        <v>256</v>
      </c>
      <c r="B8" s="2">
        <v>1</v>
      </c>
      <c r="C8" s="6" t="s">
        <v>3</v>
      </c>
      <c r="D8" s="6" t="s">
        <v>3</v>
      </c>
      <c r="E8" s="6"/>
      <c r="F8" s="2"/>
      <c r="G8" s="6"/>
      <c r="H8" s="6"/>
      <c r="I8" s="12"/>
      <c r="J8" s="22"/>
      <c r="K8" s="22" t="s">
        <v>3</v>
      </c>
      <c r="L8" s="12" t="s">
        <v>126</v>
      </c>
      <c r="M8" s="12" t="s">
        <v>89</v>
      </c>
      <c r="N8" s="6" t="s">
        <v>310</v>
      </c>
      <c r="O8" s="2" t="s">
        <v>581</v>
      </c>
      <c r="P8" s="6"/>
      <c r="Q8" s="6"/>
      <c r="R8" s="6"/>
      <c r="S8" s="2"/>
    </row>
    <row r="9" spans="1:19" x14ac:dyDescent="0.25">
      <c r="A9" s="2" t="s">
        <v>251</v>
      </c>
      <c r="B9" s="2">
        <v>1</v>
      </c>
      <c r="C9" s="6" t="s">
        <v>3</v>
      </c>
      <c r="D9" s="6" t="s">
        <v>3</v>
      </c>
      <c r="E9" s="6"/>
      <c r="F9" s="2"/>
      <c r="G9" s="6"/>
      <c r="H9" s="6"/>
      <c r="I9" s="12"/>
      <c r="J9" s="22"/>
      <c r="K9" s="22" t="s">
        <v>3</v>
      </c>
      <c r="L9" s="12" t="s">
        <v>126</v>
      </c>
      <c r="M9" s="12" t="s">
        <v>89</v>
      </c>
      <c r="N9" s="6" t="s">
        <v>311</v>
      </c>
      <c r="O9" s="2" t="s">
        <v>307</v>
      </c>
      <c r="P9" s="6"/>
      <c r="Q9" s="6"/>
      <c r="R9" s="6"/>
      <c r="S9" s="2"/>
    </row>
    <row r="10" spans="1:19" x14ac:dyDescent="0.25">
      <c r="A10" s="2" t="s">
        <v>135</v>
      </c>
      <c r="B10" s="2">
        <v>1</v>
      </c>
      <c r="C10" s="6" t="s">
        <v>3</v>
      </c>
      <c r="D10" s="6" t="s">
        <v>3</v>
      </c>
      <c r="E10" s="6"/>
      <c r="F10" s="2"/>
      <c r="G10" s="6"/>
      <c r="H10" s="6"/>
      <c r="I10" s="12"/>
      <c r="J10" s="22"/>
      <c r="K10" s="22" t="s">
        <v>3</v>
      </c>
      <c r="L10" s="12" t="s">
        <v>126</v>
      </c>
      <c r="M10" s="12" t="s">
        <v>89</v>
      </c>
      <c r="N10" s="6" t="s">
        <v>310</v>
      </c>
      <c r="O10" s="2" t="s">
        <v>354</v>
      </c>
      <c r="P10" s="6"/>
      <c r="Q10" s="6"/>
      <c r="R10" s="6"/>
      <c r="S10" s="2"/>
    </row>
    <row r="11" spans="1:19" x14ac:dyDescent="0.25">
      <c r="A11" s="2" t="s">
        <v>136</v>
      </c>
      <c r="B11" s="2">
        <v>1</v>
      </c>
      <c r="C11" s="6" t="s">
        <v>3</v>
      </c>
      <c r="D11" s="6" t="s">
        <v>3</v>
      </c>
      <c r="E11" s="6"/>
      <c r="F11" s="2"/>
      <c r="G11" s="6"/>
      <c r="H11" s="6"/>
      <c r="I11" s="12"/>
      <c r="J11" s="22"/>
      <c r="K11" s="22" t="s">
        <v>3</v>
      </c>
      <c r="L11" s="12" t="s">
        <v>126</v>
      </c>
      <c r="M11" s="12" t="s">
        <v>89</v>
      </c>
      <c r="N11" s="6" t="s">
        <v>310</v>
      </c>
      <c r="O11" s="2" t="s">
        <v>354</v>
      </c>
      <c r="P11" s="6"/>
      <c r="Q11" s="6"/>
      <c r="R11" s="6"/>
      <c r="S11" s="2"/>
    </row>
    <row r="12" spans="1:19" x14ac:dyDescent="0.25">
      <c r="A12" s="2" t="s">
        <v>157</v>
      </c>
      <c r="B12" s="2">
        <v>1</v>
      </c>
      <c r="C12" s="6" t="s">
        <v>3</v>
      </c>
      <c r="D12" s="6" t="s">
        <v>3</v>
      </c>
      <c r="E12" s="6"/>
      <c r="F12" s="2"/>
      <c r="G12" s="6"/>
      <c r="H12" s="6"/>
      <c r="I12" s="12"/>
      <c r="J12" s="22"/>
      <c r="K12" s="22" t="s">
        <v>3</v>
      </c>
      <c r="L12" s="12" t="s">
        <v>126</v>
      </c>
      <c r="M12" s="12" t="s">
        <v>89</v>
      </c>
      <c r="N12" s="6" t="s">
        <v>310</v>
      </c>
      <c r="O12" s="2" t="s">
        <v>581</v>
      </c>
      <c r="P12" s="6"/>
      <c r="Q12" s="6"/>
      <c r="R12" s="6"/>
      <c r="S12" s="2"/>
    </row>
    <row r="13" spans="1:19" x14ac:dyDescent="0.25">
      <c r="A13" s="2" t="s">
        <v>172</v>
      </c>
      <c r="B13" s="2">
        <v>1</v>
      </c>
      <c r="C13" s="6" t="s">
        <v>3</v>
      </c>
      <c r="D13" s="6" t="s">
        <v>3</v>
      </c>
      <c r="E13" s="6"/>
      <c r="F13" s="2"/>
      <c r="G13" s="6"/>
      <c r="H13" s="6"/>
      <c r="I13" s="12"/>
      <c r="J13" s="22"/>
      <c r="K13" s="22" t="s">
        <v>3</v>
      </c>
      <c r="L13" s="12" t="s">
        <v>126</v>
      </c>
      <c r="M13" s="12" t="s">
        <v>600</v>
      </c>
      <c r="N13" s="6" t="s">
        <v>310</v>
      </c>
      <c r="O13" s="2" t="s">
        <v>581</v>
      </c>
      <c r="P13" s="6"/>
      <c r="Q13" s="6"/>
      <c r="R13" s="6"/>
      <c r="S13" s="2"/>
    </row>
    <row r="14" spans="1:19" x14ac:dyDescent="0.25">
      <c r="A14" s="2" t="s">
        <v>773</v>
      </c>
      <c r="B14" s="2">
        <v>1</v>
      </c>
      <c r="C14" s="6" t="s">
        <v>3</v>
      </c>
      <c r="D14" s="6" t="s">
        <v>3</v>
      </c>
      <c r="E14" s="6"/>
      <c r="F14" s="2"/>
      <c r="G14" s="6"/>
      <c r="H14" s="6"/>
      <c r="I14" s="12"/>
      <c r="J14" s="22"/>
      <c r="K14" s="22" t="s">
        <v>3</v>
      </c>
      <c r="L14" s="12" t="s">
        <v>126</v>
      </c>
      <c r="M14" s="12" t="s">
        <v>89</v>
      </c>
      <c r="N14" s="6" t="s">
        <v>310</v>
      </c>
      <c r="O14" s="2" t="s">
        <v>581</v>
      </c>
      <c r="P14" s="6"/>
      <c r="Q14" s="6"/>
      <c r="R14" s="6"/>
      <c r="S14" s="2"/>
    </row>
    <row r="15" spans="1:19" s="79" customFormat="1" x14ac:dyDescent="0.25">
      <c r="A15" s="73" t="s">
        <v>912</v>
      </c>
      <c r="B15" s="73">
        <v>1</v>
      </c>
      <c r="C15" s="74" t="s">
        <v>3</v>
      </c>
      <c r="D15" s="74" t="s">
        <v>3</v>
      </c>
      <c r="E15" s="74"/>
      <c r="F15" s="73"/>
      <c r="G15" s="74"/>
      <c r="H15" s="74"/>
      <c r="I15" s="73"/>
      <c r="J15" s="91"/>
      <c r="K15" s="91" t="s">
        <v>3</v>
      </c>
      <c r="L15" s="73" t="s">
        <v>126</v>
      </c>
      <c r="M15" s="73" t="s">
        <v>89</v>
      </c>
      <c r="N15" s="74" t="s">
        <v>311</v>
      </c>
      <c r="O15" s="73" t="s">
        <v>307</v>
      </c>
      <c r="P15" s="74"/>
      <c r="Q15" s="74"/>
      <c r="R15" s="74"/>
      <c r="S15" s="73"/>
    </row>
    <row r="16" spans="1:19" x14ac:dyDescent="0.25">
      <c r="A16" s="2" t="s">
        <v>913</v>
      </c>
      <c r="B16" s="2">
        <v>1</v>
      </c>
      <c r="C16" s="6" t="s">
        <v>3</v>
      </c>
      <c r="D16" s="6" t="s">
        <v>3</v>
      </c>
      <c r="E16" s="6"/>
      <c r="F16" s="2"/>
      <c r="G16" s="6"/>
      <c r="H16" s="6"/>
      <c r="I16" s="12"/>
      <c r="J16" s="22"/>
      <c r="K16" s="22" t="s">
        <v>3</v>
      </c>
      <c r="L16" s="12" t="s">
        <v>126</v>
      </c>
      <c r="M16" s="12" t="s">
        <v>89</v>
      </c>
      <c r="N16" s="6" t="s">
        <v>311</v>
      </c>
      <c r="O16" s="2" t="s">
        <v>307</v>
      </c>
      <c r="P16" s="6"/>
      <c r="Q16" s="6"/>
      <c r="R16" s="6"/>
      <c r="S16" s="2"/>
    </row>
    <row r="17" spans="1:19" x14ac:dyDescent="0.25">
      <c r="A17" s="2" t="s">
        <v>914</v>
      </c>
      <c r="B17" s="2">
        <v>1</v>
      </c>
      <c r="C17" s="6" t="s">
        <v>3</v>
      </c>
      <c r="D17" s="6" t="s">
        <v>3</v>
      </c>
      <c r="E17" s="6"/>
      <c r="F17" s="2"/>
      <c r="G17" s="6"/>
      <c r="H17" s="6"/>
      <c r="I17" s="12"/>
      <c r="J17" s="22"/>
      <c r="K17" s="22" t="s">
        <v>3</v>
      </c>
      <c r="L17" s="12" t="s">
        <v>126</v>
      </c>
      <c r="M17" s="12" t="s">
        <v>89</v>
      </c>
      <c r="N17" s="6" t="s">
        <v>311</v>
      </c>
      <c r="O17" s="2" t="s">
        <v>307</v>
      </c>
      <c r="P17" s="6"/>
      <c r="Q17" s="6"/>
      <c r="R17" s="6"/>
      <c r="S17" s="2"/>
    </row>
    <row r="18" spans="1:19" x14ac:dyDescent="0.25">
      <c r="A18" s="2" t="s">
        <v>872</v>
      </c>
      <c r="B18" s="2">
        <v>1</v>
      </c>
      <c r="C18" s="6" t="s">
        <v>3</v>
      </c>
      <c r="D18" s="6" t="s">
        <v>3</v>
      </c>
      <c r="E18" s="6"/>
      <c r="F18" s="2"/>
      <c r="G18" s="6"/>
      <c r="H18" s="6"/>
      <c r="I18" s="12"/>
      <c r="J18" s="22"/>
      <c r="K18" s="22" t="s">
        <v>3</v>
      </c>
      <c r="L18" s="12" t="s">
        <v>126</v>
      </c>
      <c r="M18" s="12" t="s">
        <v>89</v>
      </c>
      <c r="N18" s="6" t="s">
        <v>311</v>
      </c>
      <c r="O18" s="2" t="s">
        <v>307</v>
      </c>
      <c r="P18" s="6"/>
      <c r="Q18" s="6"/>
      <c r="R18" s="6"/>
      <c r="S18" s="2"/>
    </row>
    <row r="19" spans="1:19" s="79" customFormat="1" x14ac:dyDescent="0.25">
      <c r="A19" s="73" t="s">
        <v>918</v>
      </c>
      <c r="B19" s="73">
        <v>1</v>
      </c>
      <c r="C19" s="74" t="s">
        <v>3</v>
      </c>
      <c r="D19" s="74" t="s">
        <v>3</v>
      </c>
      <c r="E19" s="74"/>
      <c r="F19" s="73"/>
      <c r="G19" s="74"/>
      <c r="H19" s="74"/>
      <c r="I19" s="73"/>
      <c r="J19" s="91"/>
      <c r="K19" s="91" t="s">
        <v>3</v>
      </c>
      <c r="L19" s="73" t="s">
        <v>126</v>
      </c>
      <c r="M19" s="73" t="s">
        <v>89</v>
      </c>
      <c r="N19" s="74" t="s">
        <v>311</v>
      </c>
      <c r="O19" s="73" t="s">
        <v>307</v>
      </c>
      <c r="P19" s="74"/>
      <c r="Q19" s="74"/>
      <c r="R19" s="74"/>
      <c r="S19" s="73"/>
    </row>
    <row r="20" spans="1:19" s="79" customFormat="1" x14ac:dyDescent="0.25">
      <c r="A20" s="73" t="s">
        <v>919</v>
      </c>
      <c r="B20" s="73">
        <v>1</v>
      </c>
      <c r="C20" s="74" t="s">
        <v>3</v>
      </c>
      <c r="D20" s="74" t="s">
        <v>3</v>
      </c>
      <c r="E20" s="74"/>
      <c r="F20" s="73"/>
      <c r="G20" s="74"/>
      <c r="H20" s="74"/>
      <c r="I20" s="73"/>
      <c r="J20" s="91"/>
      <c r="K20" s="91" t="s">
        <v>3</v>
      </c>
      <c r="L20" s="73" t="s">
        <v>126</v>
      </c>
      <c r="M20" s="73" t="s">
        <v>89</v>
      </c>
      <c r="N20" s="74" t="s">
        <v>311</v>
      </c>
      <c r="O20" s="73" t="s">
        <v>307</v>
      </c>
      <c r="P20" s="74"/>
      <c r="Q20" s="74"/>
      <c r="R20" s="74"/>
      <c r="S20" s="73"/>
    </row>
    <row r="21" spans="1:19" s="79" customFormat="1" x14ac:dyDescent="0.25">
      <c r="A21" s="73" t="s">
        <v>920</v>
      </c>
      <c r="B21" s="73">
        <v>1</v>
      </c>
      <c r="C21" s="74" t="s">
        <v>3</v>
      </c>
      <c r="D21" s="74" t="s">
        <v>3</v>
      </c>
      <c r="E21" s="74"/>
      <c r="F21" s="73"/>
      <c r="G21" s="74"/>
      <c r="H21" s="74"/>
      <c r="I21" s="73"/>
      <c r="J21" s="91"/>
      <c r="K21" s="91" t="s">
        <v>3</v>
      </c>
      <c r="L21" s="73" t="s">
        <v>126</v>
      </c>
      <c r="M21" s="73" t="s">
        <v>89</v>
      </c>
      <c r="N21" s="74" t="s">
        <v>311</v>
      </c>
      <c r="O21" s="73" t="s">
        <v>307</v>
      </c>
      <c r="P21" s="74"/>
      <c r="Q21" s="74"/>
      <c r="R21" s="74"/>
      <c r="S21" s="73"/>
    </row>
    <row r="22" spans="1:19" s="79" customFormat="1" x14ac:dyDescent="0.25">
      <c r="A22" s="73" t="s">
        <v>921</v>
      </c>
      <c r="B22" s="73">
        <v>1</v>
      </c>
      <c r="C22" s="74" t="s">
        <v>3</v>
      </c>
      <c r="D22" s="74" t="s">
        <v>3</v>
      </c>
      <c r="E22" s="74"/>
      <c r="F22" s="73"/>
      <c r="G22" s="74"/>
      <c r="H22" s="74"/>
      <c r="I22" s="73"/>
      <c r="J22" s="91"/>
      <c r="K22" s="91" t="s">
        <v>3</v>
      </c>
      <c r="L22" s="73" t="s">
        <v>126</v>
      </c>
      <c r="M22" s="73" t="s">
        <v>89</v>
      </c>
      <c r="N22" s="74" t="s">
        <v>311</v>
      </c>
      <c r="O22" s="73" t="s">
        <v>307</v>
      </c>
      <c r="P22" s="74"/>
      <c r="Q22" s="74"/>
      <c r="R22" s="74"/>
      <c r="S22" s="73"/>
    </row>
    <row r="23" spans="1:19" s="79" customFormat="1" x14ac:dyDescent="0.25">
      <c r="A23" s="73" t="s">
        <v>922</v>
      </c>
      <c r="B23" s="73">
        <v>1</v>
      </c>
      <c r="C23" s="74" t="s">
        <v>3</v>
      </c>
      <c r="D23" s="74" t="s">
        <v>3</v>
      </c>
      <c r="E23" s="74"/>
      <c r="F23" s="73"/>
      <c r="G23" s="74"/>
      <c r="H23" s="74"/>
      <c r="I23" s="73"/>
      <c r="J23" s="91"/>
      <c r="K23" s="91" t="s">
        <v>3</v>
      </c>
      <c r="L23" s="73" t="s">
        <v>126</v>
      </c>
      <c r="M23" s="73" t="s">
        <v>89</v>
      </c>
      <c r="N23" s="74" t="s">
        <v>311</v>
      </c>
      <c r="O23" s="73" t="s">
        <v>307</v>
      </c>
      <c r="P23" s="74"/>
      <c r="Q23" s="74"/>
      <c r="R23" s="74"/>
      <c r="S23" s="73"/>
    </row>
    <row r="24" spans="1:19" s="79" customFormat="1" x14ac:dyDescent="0.25">
      <c r="A24" s="73" t="s">
        <v>1121</v>
      </c>
      <c r="B24" s="73">
        <v>1</v>
      </c>
      <c r="C24" s="74" t="s">
        <v>3</v>
      </c>
      <c r="D24" s="74" t="s">
        <v>3</v>
      </c>
      <c r="E24" s="74"/>
      <c r="F24" s="73"/>
      <c r="G24" s="74"/>
      <c r="H24" s="74"/>
      <c r="I24" s="73"/>
      <c r="J24" s="91"/>
      <c r="K24" s="91" t="s">
        <v>3</v>
      </c>
      <c r="L24" s="73" t="s">
        <v>126</v>
      </c>
      <c r="M24" s="73" t="s">
        <v>89</v>
      </c>
      <c r="N24" s="74" t="s">
        <v>311</v>
      </c>
      <c r="O24" s="73" t="s">
        <v>307</v>
      </c>
      <c r="P24" s="74"/>
      <c r="Q24" s="74"/>
      <c r="R24" s="74"/>
      <c r="S24" s="73"/>
    </row>
    <row r="25" spans="1:19" x14ac:dyDescent="0.25">
      <c r="A25" s="73" t="s">
        <v>1122</v>
      </c>
      <c r="B25" s="2">
        <v>1</v>
      </c>
      <c r="C25" s="6" t="s">
        <v>3</v>
      </c>
      <c r="D25" s="6" t="s">
        <v>3</v>
      </c>
      <c r="E25" s="6"/>
      <c r="F25" s="2"/>
      <c r="G25" s="6"/>
      <c r="H25" s="6"/>
      <c r="I25" s="12"/>
      <c r="J25" s="22"/>
      <c r="K25" s="22" t="s">
        <v>3</v>
      </c>
      <c r="L25" s="12" t="s">
        <v>1178</v>
      </c>
      <c r="M25" s="12"/>
      <c r="N25" s="6" t="s">
        <v>310</v>
      </c>
      <c r="O25" s="2" t="s">
        <v>1179</v>
      </c>
      <c r="P25" s="6"/>
      <c r="Q25" s="6"/>
      <c r="R25" s="6"/>
      <c r="S25" s="2"/>
    </row>
    <row r="26" spans="1:19" x14ac:dyDescent="0.25">
      <c r="A26" s="73" t="s">
        <v>1123</v>
      </c>
      <c r="B26" s="2">
        <v>1</v>
      </c>
      <c r="C26" s="6" t="s">
        <v>3</v>
      </c>
      <c r="D26" s="6" t="s">
        <v>3</v>
      </c>
      <c r="E26" s="6"/>
      <c r="F26" s="2"/>
      <c r="G26" s="6"/>
      <c r="H26" s="6"/>
      <c r="I26" s="12"/>
      <c r="J26" s="22"/>
      <c r="K26" s="22" t="s">
        <v>3</v>
      </c>
      <c r="L26" s="12" t="s">
        <v>1178</v>
      </c>
      <c r="M26" s="12"/>
      <c r="N26" s="6" t="s">
        <v>310</v>
      </c>
      <c r="O26" s="101" t="s">
        <v>1180</v>
      </c>
      <c r="P26" s="6"/>
      <c r="Q26" s="6"/>
      <c r="R26" s="6"/>
      <c r="S26" s="2"/>
    </row>
    <row r="27" spans="1:19" x14ac:dyDescent="0.25">
      <c r="A27" s="73" t="s">
        <v>1157</v>
      </c>
      <c r="B27" s="2">
        <v>1</v>
      </c>
      <c r="C27" s="6" t="s">
        <v>3</v>
      </c>
      <c r="D27" s="6" t="s">
        <v>3</v>
      </c>
      <c r="E27" s="6"/>
      <c r="F27" s="2"/>
      <c r="G27" s="6"/>
      <c r="H27" s="6"/>
      <c r="I27" s="12"/>
      <c r="J27" s="22"/>
      <c r="K27" s="22" t="s">
        <v>3</v>
      </c>
      <c r="L27" s="12" t="s">
        <v>1178</v>
      </c>
      <c r="M27" s="12"/>
      <c r="N27" s="6" t="s">
        <v>310</v>
      </c>
      <c r="O27" s="2" t="s">
        <v>1987</v>
      </c>
      <c r="P27" s="6"/>
      <c r="Q27" s="6"/>
      <c r="R27" s="6"/>
      <c r="S27" s="2"/>
    </row>
    <row r="28" spans="1:19" x14ac:dyDescent="0.25">
      <c r="A28" s="73" t="s">
        <v>1163</v>
      </c>
      <c r="B28" s="2">
        <v>1</v>
      </c>
      <c r="C28" s="6" t="s">
        <v>3</v>
      </c>
      <c r="D28" s="6" t="s">
        <v>3</v>
      </c>
      <c r="E28" s="6"/>
      <c r="F28" s="2"/>
      <c r="G28" s="6"/>
      <c r="H28" s="6"/>
      <c r="I28" s="12"/>
      <c r="J28" s="22"/>
      <c r="K28" s="22" t="s">
        <v>3</v>
      </c>
      <c r="L28" s="12" t="s">
        <v>1178</v>
      </c>
      <c r="M28" s="12"/>
      <c r="N28" s="6" t="s">
        <v>310</v>
      </c>
      <c r="O28" s="101" t="s">
        <v>1985</v>
      </c>
      <c r="P28" s="6"/>
      <c r="Q28" s="6"/>
      <c r="R28" s="6"/>
      <c r="S28" s="2"/>
    </row>
    <row r="29" spans="1:19" x14ac:dyDescent="0.25">
      <c r="A29" s="2" t="s">
        <v>1164</v>
      </c>
      <c r="B29" s="2">
        <v>1</v>
      </c>
      <c r="C29" s="6" t="s">
        <v>3</v>
      </c>
      <c r="D29" s="6" t="s">
        <v>3</v>
      </c>
      <c r="E29" s="6"/>
      <c r="F29" s="2"/>
      <c r="G29" s="6"/>
      <c r="H29" s="6"/>
      <c r="I29" s="12"/>
      <c r="J29" s="22"/>
      <c r="K29" s="22" t="s">
        <v>3</v>
      </c>
      <c r="L29" s="12" t="s">
        <v>1178</v>
      </c>
      <c r="M29" s="12"/>
      <c r="N29" s="6" t="s">
        <v>310</v>
      </c>
      <c r="O29" s="101" t="s">
        <v>1986</v>
      </c>
      <c r="P29" s="6"/>
      <c r="Q29" s="6"/>
      <c r="R29" s="6"/>
      <c r="S29" s="2"/>
    </row>
    <row r="30" spans="1:19" x14ac:dyDescent="0.25">
      <c r="A30" s="2" t="s">
        <v>1165</v>
      </c>
      <c r="B30" s="2">
        <v>1</v>
      </c>
      <c r="C30" s="6" t="s">
        <v>3</v>
      </c>
      <c r="D30" s="6" t="s">
        <v>3</v>
      </c>
      <c r="E30" s="6"/>
      <c r="F30" s="2"/>
      <c r="G30" s="6"/>
      <c r="H30" s="6"/>
      <c r="I30" s="12"/>
      <c r="J30" s="22"/>
      <c r="K30" s="22" t="s">
        <v>3</v>
      </c>
      <c r="L30" s="12" t="s">
        <v>126</v>
      </c>
      <c r="M30" s="12" t="s">
        <v>89</v>
      </c>
      <c r="N30" s="6" t="s">
        <v>310</v>
      </c>
      <c r="O30" s="2" t="s">
        <v>581</v>
      </c>
      <c r="P30" s="6"/>
      <c r="Q30" s="6"/>
      <c r="R30" s="6"/>
      <c r="S30" s="2"/>
    </row>
    <row r="31" spans="1:19" x14ac:dyDescent="0.25">
      <c r="A31" s="2" t="s">
        <v>1166</v>
      </c>
      <c r="B31" s="2">
        <v>1</v>
      </c>
      <c r="C31" s="6" t="s">
        <v>3</v>
      </c>
      <c r="D31" s="6" t="s">
        <v>3</v>
      </c>
      <c r="E31" s="6"/>
      <c r="F31" s="2"/>
      <c r="G31" s="6"/>
      <c r="H31" s="6"/>
      <c r="I31" s="12"/>
      <c r="J31" s="22"/>
      <c r="K31" s="22" t="s">
        <v>3</v>
      </c>
      <c r="L31" s="12" t="s">
        <v>126</v>
      </c>
      <c r="M31" s="12" t="s">
        <v>89</v>
      </c>
      <c r="N31" s="6" t="s">
        <v>310</v>
      </c>
      <c r="O31" s="2" t="s">
        <v>581</v>
      </c>
      <c r="P31" s="6"/>
      <c r="Q31" s="6"/>
      <c r="R31" s="6"/>
      <c r="S31" s="2"/>
    </row>
    <row r="32" spans="1:19" x14ac:dyDescent="0.25">
      <c r="A32" s="2" t="s">
        <v>1167</v>
      </c>
      <c r="B32" s="2">
        <v>1</v>
      </c>
      <c r="C32" s="6" t="s">
        <v>3</v>
      </c>
      <c r="D32" s="6" t="s">
        <v>3</v>
      </c>
      <c r="E32" s="6"/>
      <c r="F32" s="2"/>
      <c r="G32" s="6"/>
      <c r="H32" s="6"/>
      <c r="I32" s="12"/>
      <c r="J32" s="22"/>
      <c r="K32" s="22" t="s">
        <v>3</v>
      </c>
      <c r="L32" s="12" t="s">
        <v>126</v>
      </c>
      <c r="M32" s="12" t="s">
        <v>89</v>
      </c>
      <c r="N32" s="6" t="s">
        <v>310</v>
      </c>
      <c r="O32" s="2" t="s">
        <v>354</v>
      </c>
      <c r="P32" s="6"/>
      <c r="Q32" s="6"/>
      <c r="R32" s="6"/>
      <c r="S32" s="2"/>
    </row>
    <row r="33" spans="1:19" x14ac:dyDescent="0.25">
      <c r="A33" s="2" t="s">
        <v>1168</v>
      </c>
      <c r="B33" s="2">
        <v>1</v>
      </c>
      <c r="C33" s="6" t="s">
        <v>3</v>
      </c>
      <c r="D33" s="6" t="s">
        <v>3</v>
      </c>
      <c r="E33" s="6"/>
      <c r="F33" s="2"/>
      <c r="G33" s="6"/>
      <c r="H33" s="6"/>
      <c r="I33" s="12"/>
      <c r="J33" s="22"/>
      <c r="K33" s="22" t="s">
        <v>3</v>
      </c>
      <c r="L33" s="12" t="s">
        <v>126</v>
      </c>
      <c r="M33" s="12" t="s">
        <v>89</v>
      </c>
      <c r="N33" s="6" t="s">
        <v>310</v>
      </c>
      <c r="O33" s="2" t="s">
        <v>354</v>
      </c>
      <c r="P33" s="6"/>
      <c r="Q33" s="6"/>
      <c r="R33" s="6"/>
      <c r="S33" s="2"/>
    </row>
    <row r="34" spans="1:19" x14ac:dyDescent="0.25">
      <c r="A34" s="2" t="s">
        <v>1169</v>
      </c>
      <c r="B34" s="2">
        <v>1</v>
      </c>
      <c r="C34" s="6" t="s">
        <v>3</v>
      </c>
      <c r="D34" s="6" t="s">
        <v>3</v>
      </c>
      <c r="E34" s="6"/>
      <c r="F34" s="2"/>
      <c r="G34" s="6"/>
      <c r="H34" s="6"/>
      <c r="I34" s="12"/>
      <c r="J34" s="22"/>
      <c r="K34" s="22" t="s">
        <v>3</v>
      </c>
      <c r="L34" s="12" t="s">
        <v>126</v>
      </c>
      <c r="M34" s="12" t="s">
        <v>89</v>
      </c>
      <c r="N34" s="6" t="s">
        <v>310</v>
      </c>
      <c r="O34" s="2" t="s">
        <v>581</v>
      </c>
      <c r="P34" s="6"/>
      <c r="Q34" s="6"/>
      <c r="R34" s="6"/>
      <c r="S34" s="2"/>
    </row>
    <row r="35" spans="1:19" x14ac:dyDescent="0.25">
      <c r="A35" s="2" t="s">
        <v>1170</v>
      </c>
      <c r="B35" s="2">
        <v>1</v>
      </c>
      <c r="C35" s="6" t="s">
        <v>3</v>
      </c>
      <c r="D35" s="6" t="s">
        <v>3</v>
      </c>
      <c r="E35" s="6"/>
      <c r="F35" s="2"/>
      <c r="G35" s="6"/>
      <c r="H35" s="6"/>
      <c r="I35" s="12"/>
      <c r="J35" s="22"/>
      <c r="K35" s="22" t="s">
        <v>3</v>
      </c>
      <c r="L35" s="12" t="s">
        <v>126</v>
      </c>
      <c r="M35" s="12" t="s">
        <v>89</v>
      </c>
      <c r="N35" s="6" t="s">
        <v>310</v>
      </c>
      <c r="O35" s="2" t="s">
        <v>354</v>
      </c>
      <c r="P35" s="6"/>
      <c r="Q35" s="6"/>
      <c r="R35" s="6"/>
      <c r="S35" s="2"/>
    </row>
    <row r="36" spans="1:19" x14ac:dyDescent="0.25">
      <c r="A36" s="2" t="s">
        <v>1171</v>
      </c>
      <c r="B36" s="2">
        <v>1</v>
      </c>
      <c r="C36" s="6" t="s">
        <v>3</v>
      </c>
      <c r="D36" s="6" t="s">
        <v>3</v>
      </c>
      <c r="E36" s="6"/>
      <c r="F36" s="2"/>
      <c r="G36" s="6"/>
      <c r="H36" s="6"/>
      <c r="I36" s="12"/>
      <c r="J36" s="22"/>
      <c r="K36" s="22" t="s">
        <v>3</v>
      </c>
      <c r="L36" s="12" t="s">
        <v>126</v>
      </c>
      <c r="M36" s="12" t="s">
        <v>89</v>
      </c>
      <c r="N36" s="6" t="s">
        <v>310</v>
      </c>
      <c r="O36" s="2" t="s">
        <v>354</v>
      </c>
      <c r="P36" s="6"/>
      <c r="Q36" s="6"/>
      <c r="R36" s="6"/>
      <c r="S36" s="2"/>
    </row>
    <row r="37" spans="1:19" x14ac:dyDescent="0.25">
      <c r="A37" s="2" t="s">
        <v>1172</v>
      </c>
      <c r="B37" s="2">
        <v>1</v>
      </c>
      <c r="C37" s="6" t="s">
        <v>3</v>
      </c>
      <c r="D37" s="6" t="s">
        <v>3</v>
      </c>
      <c r="E37" s="6"/>
      <c r="F37" s="2"/>
      <c r="G37" s="6"/>
      <c r="H37" s="6"/>
      <c r="I37" s="12"/>
      <c r="J37" s="22"/>
      <c r="K37" s="22" t="s">
        <v>3</v>
      </c>
      <c r="L37" s="12" t="s">
        <v>126</v>
      </c>
      <c r="M37" s="12" t="s">
        <v>89</v>
      </c>
      <c r="N37" s="6" t="s">
        <v>310</v>
      </c>
      <c r="O37" s="2" t="s">
        <v>354</v>
      </c>
      <c r="P37" s="6"/>
      <c r="Q37" s="6"/>
      <c r="R37" s="6"/>
      <c r="S37" s="2"/>
    </row>
    <row r="38" spans="1:19" x14ac:dyDescent="0.25">
      <c r="A38" s="2" t="s">
        <v>1173</v>
      </c>
      <c r="B38" s="2">
        <v>1</v>
      </c>
      <c r="C38" s="6" t="s">
        <v>3</v>
      </c>
      <c r="D38" s="6" t="s">
        <v>3</v>
      </c>
      <c r="E38" s="6"/>
      <c r="F38" s="2"/>
      <c r="G38" s="6"/>
      <c r="H38" s="6"/>
      <c r="I38" s="12"/>
      <c r="J38" s="22"/>
      <c r="K38" s="22" t="s">
        <v>3</v>
      </c>
      <c r="L38" s="12" t="s">
        <v>126</v>
      </c>
      <c r="M38" s="12" t="s">
        <v>89</v>
      </c>
      <c r="N38" s="6" t="s">
        <v>310</v>
      </c>
      <c r="O38" s="2" t="s">
        <v>354</v>
      </c>
      <c r="P38" s="6"/>
      <c r="Q38" s="6"/>
      <c r="R38" s="6"/>
      <c r="S38" s="2"/>
    </row>
    <row r="39" spans="1:19" x14ac:dyDescent="0.25">
      <c r="A39" s="2" t="s">
        <v>1227</v>
      </c>
      <c r="B39" s="2">
        <v>1</v>
      </c>
      <c r="C39" s="6" t="s">
        <v>3</v>
      </c>
      <c r="D39" s="6" t="s">
        <v>3</v>
      </c>
      <c r="E39" s="6"/>
      <c r="F39" s="2"/>
      <c r="G39" s="6"/>
      <c r="H39" s="6"/>
      <c r="I39" s="12"/>
      <c r="J39" s="22"/>
      <c r="K39" s="22" t="s">
        <v>3</v>
      </c>
      <c r="L39" s="12" t="s">
        <v>126</v>
      </c>
      <c r="M39" s="12" t="s">
        <v>89</v>
      </c>
      <c r="N39" s="6" t="s">
        <v>310</v>
      </c>
      <c r="O39" s="2" t="s">
        <v>354</v>
      </c>
      <c r="P39" s="6"/>
      <c r="Q39" s="6"/>
      <c r="R39" s="6"/>
      <c r="S39" s="2"/>
    </row>
    <row r="40" spans="1:19" x14ac:dyDescent="0.25">
      <c r="A40" s="2" t="s">
        <v>1228</v>
      </c>
      <c r="B40" s="2">
        <v>1</v>
      </c>
      <c r="C40" s="6" t="s">
        <v>3</v>
      </c>
      <c r="D40" s="6" t="s">
        <v>3</v>
      </c>
      <c r="E40" s="6"/>
      <c r="F40" s="2"/>
      <c r="G40" s="6"/>
      <c r="H40" s="6"/>
      <c r="I40" s="12"/>
      <c r="J40" s="22"/>
      <c r="K40" s="22" t="s">
        <v>3</v>
      </c>
      <c r="L40" s="12" t="s">
        <v>126</v>
      </c>
      <c r="M40" s="12" t="s">
        <v>89</v>
      </c>
      <c r="N40" s="6" t="s">
        <v>310</v>
      </c>
      <c r="O40" s="2" t="s">
        <v>354</v>
      </c>
      <c r="P40" s="6"/>
      <c r="Q40" s="6"/>
      <c r="R40" s="6"/>
      <c r="S40" s="2"/>
    </row>
    <row r="41" spans="1:19" x14ac:dyDescent="0.25">
      <c r="A41" s="2" t="s">
        <v>1229</v>
      </c>
      <c r="B41" s="2">
        <v>1</v>
      </c>
      <c r="C41" s="6" t="s">
        <v>3</v>
      </c>
      <c r="D41" s="6" t="s">
        <v>3</v>
      </c>
      <c r="E41" s="6"/>
      <c r="F41" s="2"/>
      <c r="G41" s="6"/>
      <c r="H41" s="6"/>
      <c r="I41" s="12"/>
      <c r="J41" s="22" t="s">
        <v>1778</v>
      </c>
      <c r="K41" s="22"/>
      <c r="L41" s="12" t="s">
        <v>126</v>
      </c>
      <c r="M41" s="12" t="s">
        <v>89</v>
      </c>
      <c r="N41" s="6" t="s">
        <v>310</v>
      </c>
      <c r="O41" s="2" t="s">
        <v>581</v>
      </c>
      <c r="P41" s="6"/>
      <c r="Q41" s="6"/>
      <c r="R41" s="6"/>
      <c r="S41" s="2"/>
    </row>
    <row r="42" spans="1:19" x14ac:dyDescent="0.25">
      <c r="A42" s="2" t="s">
        <v>1230</v>
      </c>
      <c r="B42" s="2">
        <v>1</v>
      </c>
      <c r="C42" s="6" t="s">
        <v>3</v>
      </c>
      <c r="D42" s="6" t="s">
        <v>3</v>
      </c>
      <c r="E42" s="6"/>
      <c r="F42" s="2"/>
      <c r="G42" s="6"/>
      <c r="H42" s="6"/>
      <c r="I42" s="12"/>
      <c r="J42" s="22" t="s">
        <v>1778</v>
      </c>
      <c r="K42" s="22"/>
      <c r="L42" s="12" t="s">
        <v>126</v>
      </c>
      <c r="M42" s="12" t="s">
        <v>89</v>
      </c>
      <c r="N42" s="6" t="s">
        <v>310</v>
      </c>
      <c r="O42" s="2" t="s">
        <v>581</v>
      </c>
      <c r="P42" s="6"/>
      <c r="Q42" s="6"/>
      <c r="R42" s="6"/>
      <c r="S42" s="2"/>
    </row>
    <row r="43" spans="1:19" x14ac:dyDescent="0.25">
      <c r="A43" s="2" t="s">
        <v>1231</v>
      </c>
      <c r="B43" s="2">
        <v>1</v>
      </c>
      <c r="C43" s="6" t="s">
        <v>3</v>
      </c>
      <c r="D43" s="6" t="s">
        <v>3</v>
      </c>
      <c r="E43" s="6"/>
      <c r="F43" s="2"/>
      <c r="G43" s="6"/>
      <c r="H43" s="6"/>
      <c r="I43" s="12"/>
      <c r="J43" s="22"/>
      <c r="K43" s="22" t="s">
        <v>3</v>
      </c>
      <c r="L43" s="12" t="s">
        <v>1178</v>
      </c>
      <c r="M43" s="12"/>
      <c r="N43" s="6" t="s">
        <v>310</v>
      </c>
      <c r="O43" s="101" t="s">
        <v>1986</v>
      </c>
      <c r="P43" s="6"/>
      <c r="Q43" s="6"/>
      <c r="R43" s="6"/>
      <c r="S43" s="2"/>
    </row>
    <row r="44" spans="1:19" x14ac:dyDescent="0.25">
      <c r="A44" s="73" t="s">
        <v>1359</v>
      </c>
      <c r="B44" s="2">
        <v>1</v>
      </c>
      <c r="C44" s="6" t="s">
        <v>3</v>
      </c>
      <c r="D44" s="6" t="s">
        <v>3</v>
      </c>
      <c r="E44" s="6"/>
      <c r="F44" s="2"/>
      <c r="G44" s="6"/>
      <c r="H44" s="6"/>
      <c r="I44" s="12"/>
      <c r="J44" s="22"/>
      <c r="K44" s="22" t="s">
        <v>3</v>
      </c>
      <c r="L44" s="12" t="s">
        <v>1178</v>
      </c>
      <c r="M44" s="12"/>
      <c r="N44" s="6" t="s">
        <v>310</v>
      </c>
      <c r="O44" s="101" t="s">
        <v>1985</v>
      </c>
      <c r="P44" s="6"/>
      <c r="Q44" s="6"/>
      <c r="R44" s="6"/>
      <c r="S44" s="2"/>
    </row>
    <row r="45" spans="1:19" x14ac:dyDescent="0.25">
      <c r="A45" s="73" t="s">
        <v>2016</v>
      </c>
      <c r="B45" s="2">
        <v>1</v>
      </c>
      <c r="C45" s="6" t="s">
        <v>3</v>
      </c>
      <c r="D45" s="6" t="s">
        <v>3</v>
      </c>
      <c r="E45" s="6"/>
      <c r="F45" s="2"/>
      <c r="G45" s="6"/>
      <c r="H45" s="6"/>
      <c r="I45" s="12"/>
      <c r="J45" s="22"/>
      <c r="K45" s="22" t="s">
        <v>3</v>
      </c>
      <c r="L45" s="12" t="s">
        <v>1178</v>
      </c>
      <c r="M45" s="12"/>
      <c r="N45" s="6" t="s">
        <v>310</v>
      </c>
      <c r="O45" s="101" t="s">
        <v>1985</v>
      </c>
      <c r="P45" s="6"/>
      <c r="Q45" s="6"/>
      <c r="R45" s="6"/>
      <c r="S45" s="2"/>
    </row>
    <row r="46" spans="1:19" x14ac:dyDescent="0.25">
      <c r="A46" s="73" t="s">
        <v>2017</v>
      </c>
      <c r="B46" s="2">
        <v>1</v>
      </c>
      <c r="C46" s="6" t="s">
        <v>3</v>
      </c>
      <c r="D46" s="6" t="s">
        <v>3</v>
      </c>
      <c r="E46" s="6"/>
      <c r="F46" s="2"/>
      <c r="G46" s="6"/>
      <c r="H46" s="6"/>
      <c r="I46" s="12"/>
      <c r="J46" s="22"/>
      <c r="K46" s="22" t="s">
        <v>3</v>
      </c>
      <c r="L46" s="12" t="s">
        <v>1178</v>
      </c>
      <c r="M46" s="12"/>
      <c r="N46" s="6" t="s">
        <v>310</v>
      </c>
      <c r="O46" s="101" t="s">
        <v>1180</v>
      </c>
      <c r="P46" s="6"/>
      <c r="Q46" s="6"/>
      <c r="R46" s="6"/>
      <c r="S46" s="2"/>
    </row>
    <row r="47" spans="1:19" x14ac:dyDescent="0.25">
      <c r="A47" s="73" t="s">
        <v>2018</v>
      </c>
      <c r="B47" s="2">
        <v>1</v>
      </c>
      <c r="C47" s="6" t="s">
        <v>3</v>
      </c>
      <c r="D47" s="6" t="s">
        <v>3</v>
      </c>
      <c r="E47" s="6"/>
      <c r="F47" s="2"/>
      <c r="G47" s="6"/>
      <c r="H47" s="6"/>
      <c r="I47" s="12"/>
      <c r="J47" s="22"/>
      <c r="K47" s="22" t="s">
        <v>3</v>
      </c>
      <c r="L47" s="12" t="s">
        <v>1178</v>
      </c>
      <c r="M47" s="12"/>
      <c r="N47" s="6" t="s">
        <v>310</v>
      </c>
      <c r="O47" s="2" t="s">
        <v>1179</v>
      </c>
      <c r="P47" s="6"/>
      <c r="Q47" s="6"/>
      <c r="R47" s="6"/>
      <c r="S47" s="2"/>
    </row>
    <row r="48" spans="1:19" x14ac:dyDescent="0.25">
      <c r="A48" s="73" t="s">
        <v>2019</v>
      </c>
      <c r="B48" s="2">
        <v>1</v>
      </c>
      <c r="C48" s="6" t="s">
        <v>3</v>
      </c>
      <c r="D48" s="6" t="s">
        <v>3</v>
      </c>
      <c r="E48" s="6"/>
      <c r="F48" s="2"/>
      <c r="G48" s="6"/>
      <c r="H48" s="6"/>
      <c r="I48" s="12"/>
      <c r="J48" s="22"/>
      <c r="K48" s="22" t="s">
        <v>3</v>
      </c>
      <c r="L48" s="12" t="s">
        <v>1178</v>
      </c>
      <c r="M48" s="12"/>
      <c r="N48" s="6" t="s">
        <v>310</v>
      </c>
      <c r="O48" s="101" t="s">
        <v>1985</v>
      </c>
      <c r="P48" s="6"/>
      <c r="Q48" s="6"/>
      <c r="R48" s="6"/>
      <c r="S48" s="2"/>
    </row>
    <row r="49" spans="1:19" x14ac:dyDescent="0.25">
      <c r="A49" s="73" t="s">
        <v>2020</v>
      </c>
      <c r="B49" s="2">
        <v>1</v>
      </c>
      <c r="C49" s="6" t="s">
        <v>3</v>
      </c>
      <c r="D49" s="6" t="s">
        <v>3</v>
      </c>
      <c r="E49" s="6"/>
      <c r="F49" s="2"/>
      <c r="G49" s="6"/>
      <c r="H49" s="6"/>
      <c r="I49" s="12"/>
      <c r="J49" s="22" t="s">
        <v>1778</v>
      </c>
      <c r="K49" s="22"/>
      <c r="L49" s="12" t="s">
        <v>1178</v>
      </c>
      <c r="M49" s="12"/>
      <c r="N49" s="6" t="s">
        <v>310</v>
      </c>
      <c r="O49" s="101" t="s">
        <v>1986</v>
      </c>
      <c r="P49" s="6"/>
      <c r="Q49" s="6"/>
      <c r="R49" s="6"/>
      <c r="S49" s="2"/>
    </row>
    <row r="50" spans="1:19" x14ac:dyDescent="0.25">
      <c r="A50" s="73" t="s">
        <v>2021</v>
      </c>
      <c r="B50" s="2">
        <v>1</v>
      </c>
      <c r="C50" s="6" t="s">
        <v>3</v>
      </c>
      <c r="D50" s="6" t="s">
        <v>3</v>
      </c>
      <c r="E50" s="6"/>
      <c r="F50" s="2"/>
      <c r="G50" s="6"/>
      <c r="H50" s="6"/>
      <c r="I50" s="12"/>
      <c r="J50" s="22" t="s">
        <v>1778</v>
      </c>
      <c r="K50" s="22"/>
      <c r="L50" s="12" t="s">
        <v>1178</v>
      </c>
      <c r="M50" s="12"/>
      <c r="N50" s="6" t="s">
        <v>310</v>
      </c>
      <c r="O50" s="2" t="s">
        <v>1179</v>
      </c>
      <c r="P50" s="6"/>
      <c r="Q50" s="6"/>
      <c r="R50" s="6"/>
      <c r="S50" s="2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20"/>
  <sheetViews>
    <sheetView zoomScale="85" zoomScaleNormal="85" workbookViewId="0">
      <selection activeCell="A3" sqref="A3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22" style="1" bestFit="1" customWidth="1" collapsed="1"/>
    <col min="4" max="5" width="16" style="1" bestFit="1" customWidth="1" collapsed="1"/>
    <col min="6" max="7" width="14" style="1" bestFit="1" customWidth="1" collapsed="1"/>
    <col min="8" max="12" width="14" style="1" customWidth="1" collapsed="1"/>
    <col min="13" max="13" width="10.7109375" style="1" bestFit="1" customWidth="1" collapsed="1"/>
    <col min="14" max="14" width="14.42578125" style="1" bestFit="1" customWidth="1" collapsed="1"/>
    <col min="15" max="15" width="19.5703125" style="1" bestFit="1" customWidth="1" collapsed="1"/>
    <col min="16" max="20" width="19.5703125" style="1" customWidth="1" collapsed="1"/>
    <col min="21" max="21" width="14.28515625" style="1" bestFit="1" customWidth="1" collapsed="1"/>
    <col min="22" max="22" width="8.140625" style="1" bestFit="1" customWidth="1" collapsed="1"/>
    <col min="23" max="16384" width="9.140625" style="1" collapsed="1"/>
  </cols>
  <sheetData>
    <row r="1" spans="1:23" x14ac:dyDescent="0.25">
      <c r="A1" s="4" t="s">
        <v>0</v>
      </c>
      <c r="B1" s="5" t="s">
        <v>18</v>
      </c>
      <c r="C1" s="5" t="s">
        <v>73</v>
      </c>
      <c r="D1" s="5" t="s">
        <v>74</v>
      </c>
      <c r="E1" s="5" t="s">
        <v>75</v>
      </c>
      <c r="F1" s="5" t="s">
        <v>76</v>
      </c>
      <c r="G1" s="5" t="s">
        <v>76</v>
      </c>
      <c r="H1" s="5" t="s">
        <v>81</v>
      </c>
      <c r="I1" s="5" t="s">
        <v>90</v>
      </c>
      <c r="J1" s="5" t="s">
        <v>91</v>
      </c>
      <c r="K1" s="5" t="s">
        <v>92</v>
      </c>
      <c r="L1" s="5" t="s">
        <v>1022</v>
      </c>
      <c r="M1" s="5" t="s">
        <v>72</v>
      </c>
      <c r="N1" s="5" t="s">
        <v>1023</v>
      </c>
      <c r="O1" s="5" t="s">
        <v>95</v>
      </c>
      <c r="P1" s="5" t="s">
        <v>1024</v>
      </c>
      <c r="Q1" s="5" t="s">
        <v>108</v>
      </c>
      <c r="R1" s="5" t="s">
        <v>1556</v>
      </c>
      <c r="S1" s="5" t="s">
        <v>1557</v>
      </c>
      <c r="T1" s="5" t="s">
        <v>1558</v>
      </c>
      <c r="U1" s="5" t="s">
        <v>48</v>
      </c>
      <c r="V1" s="5" t="s">
        <v>47</v>
      </c>
      <c r="W1" s="9" t="s">
        <v>805</v>
      </c>
    </row>
    <row r="2" spans="1:23" x14ac:dyDescent="0.25">
      <c r="A2" s="2" t="s">
        <v>1</v>
      </c>
      <c r="B2" s="6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2" t="s">
        <v>2</v>
      </c>
      <c r="B3" s="6">
        <v>1</v>
      </c>
      <c r="C3" s="2"/>
      <c r="D3" s="14"/>
      <c r="E3" s="2"/>
      <c r="F3" s="2"/>
      <c r="G3" s="2"/>
      <c r="H3" s="17">
        <v>2499</v>
      </c>
      <c r="I3" s="17">
        <v>321999</v>
      </c>
      <c r="J3" s="14" t="s">
        <v>93</v>
      </c>
      <c r="K3" s="14" t="s">
        <v>94</v>
      </c>
      <c r="L3" s="16" t="s">
        <v>96</v>
      </c>
      <c r="M3" s="26" t="s">
        <v>169</v>
      </c>
      <c r="N3" s="2" t="s">
        <v>97</v>
      </c>
      <c r="O3" s="2" t="s">
        <v>98</v>
      </c>
      <c r="P3" s="1" t="s">
        <v>127</v>
      </c>
      <c r="Q3" s="18" t="s">
        <v>109</v>
      </c>
      <c r="R3" s="18" t="s">
        <v>1559</v>
      </c>
      <c r="S3" s="18" t="s">
        <v>1560</v>
      </c>
      <c r="T3" s="18" t="s">
        <v>1561</v>
      </c>
      <c r="U3" s="2"/>
      <c r="V3" s="2" t="s">
        <v>3</v>
      </c>
      <c r="W3" s="2" t="s">
        <v>12</v>
      </c>
    </row>
    <row r="4" spans="1:23" x14ac:dyDescent="0.25">
      <c r="A4" s="2" t="s">
        <v>16</v>
      </c>
      <c r="B4" s="6">
        <v>1</v>
      </c>
      <c r="C4" s="2"/>
      <c r="D4" s="14"/>
      <c r="E4" s="2"/>
      <c r="F4" s="2"/>
      <c r="G4" s="2"/>
      <c r="H4" s="17">
        <v>2499</v>
      </c>
      <c r="I4" s="17">
        <v>321999</v>
      </c>
      <c r="J4" s="14" t="s">
        <v>93</v>
      </c>
      <c r="K4" s="14" t="s">
        <v>94</v>
      </c>
      <c r="L4" s="16" t="s">
        <v>96</v>
      </c>
      <c r="M4" s="26" t="s">
        <v>169</v>
      </c>
      <c r="N4" s="2" t="s">
        <v>97</v>
      </c>
      <c r="O4" s="2" t="s">
        <v>98</v>
      </c>
      <c r="P4" s="1" t="s">
        <v>127</v>
      </c>
      <c r="Q4" s="18" t="s">
        <v>109</v>
      </c>
      <c r="R4" s="18" t="s">
        <v>1562</v>
      </c>
      <c r="S4" s="18" t="s">
        <v>1563</v>
      </c>
      <c r="T4" s="18" t="s">
        <v>864</v>
      </c>
      <c r="U4" s="2"/>
      <c r="V4" s="2" t="s">
        <v>3</v>
      </c>
      <c r="W4" s="2" t="s">
        <v>12</v>
      </c>
    </row>
    <row r="5" spans="1:23" x14ac:dyDescent="0.25">
      <c r="A5" s="2" t="s">
        <v>114</v>
      </c>
      <c r="B5" s="6">
        <v>1</v>
      </c>
      <c r="C5" s="2"/>
      <c r="D5" s="14"/>
      <c r="E5" s="2"/>
      <c r="F5" s="2"/>
      <c r="G5" s="2"/>
      <c r="H5" s="17">
        <v>2499</v>
      </c>
      <c r="I5" s="17">
        <v>321999</v>
      </c>
      <c r="J5" s="14" t="s">
        <v>93</v>
      </c>
      <c r="K5" s="14" t="s">
        <v>94</v>
      </c>
      <c r="L5" s="16" t="s">
        <v>96</v>
      </c>
      <c r="M5" s="26" t="s">
        <v>169</v>
      </c>
      <c r="N5" s="2" t="s">
        <v>97</v>
      </c>
      <c r="O5" s="2" t="s">
        <v>98</v>
      </c>
      <c r="P5" s="1" t="s">
        <v>127</v>
      </c>
      <c r="Q5" s="18" t="s">
        <v>109</v>
      </c>
      <c r="R5" s="18" t="s">
        <v>1564</v>
      </c>
      <c r="S5" s="18" t="s">
        <v>1565</v>
      </c>
      <c r="T5" s="18" t="s">
        <v>1566</v>
      </c>
      <c r="U5" s="2"/>
      <c r="V5" s="2" t="s">
        <v>3</v>
      </c>
      <c r="W5" s="2" t="s">
        <v>12</v>
      </c>
    </row>
    <row r="6" spans="1:23" x14ac:dyDescent="0.25">
      <c r="A6" s="2" t="s">
        <v>248</v>
      </c>
      <c r="B6" s="6">
        <v>1</v>
      </c>
      <c r="C6" s="2"/>
      <c r="D6" s="14"/>
      <c r="E6" s="2"/>
      <c r="F6" s="2"/>
      <c r="G6" s="2"/>
      <c r="H6" s="17">
        <v>2499</v>
      </c>
      <c r="I6" s="17">
        <v>321999</v>
      </c>
      <c r="J6" s="14" t="s">
        <v>93</v>
      </c>
      <c r="K6" s="14" t="s">
        <v>94</v>
      </c>
      <c r="L6" s="16" t="s">
        <v>96</v>
      </c>
      <c r="M6" s="26" t="s">
        <v>169</v>
      </c>
      <c r="N6" s="2" t="s">
        <v>97</v>
      </c>
      <c r="O6" s="2" t="s">
        <v>98</v>
      </c>
      <c r="P6" s="1" t="s">
        <v>127</v>
      </c>
      <c r="Q6" s="18" t="s">
        <v>109</v>
      </c>
      <c r="R6" s="18"/>
      <c r="S6" s="18"/>
      <c r="T6" s="18"/>
      <c r="U6" s="2"/>
      <c r="V6" s="2" t="s">
        <v>3</v>
      </c>
      <c r="W6" s="2" t="s">
        <v>12</v>
      </c>
    </row>
    <row r="7" spans="1:23" x14ac:dyDescent="0.25">
      <c r="A7" s="2" t="s">
        <v>249</v>
      </c>
      <c r="B7" s="6">
        <v>1</v>
      </c>
      <c r="C7" s="2"/>
      <c r="D7" s="14"/>
      <c r="E7" s="2"/>
      <c r="F7" s="2"/>
      <c r="G7" s="2"/>
      <c r="H7" s="17">
        <v>2499</v>
      </c>
      <c r="I7" s="17">
        <v>321999</v>
      </c>
      <c r="J7" s="14" t="s">
        <v>93</v>
      </c>
      <c r="K7" s="14" t="s">
        <v>94</v>
      </c>
      <c r="L7" s="16" t="s">
        <v>96</v>
      </c>
      <c r="M7" s="26" t="s">
        <v>169</v>
      </c>
      <c r="N7" s="2" t="s">
        <v>97</v>
      </c>
      <c r="O7" s="2" t="s">
        <v>98</v>
      </c>
      <c r="P7" s="1" t="s">
        <v>127</v>
      </c>
      <c r="Q7" s="18" t="s">
        <v>109</v>
      </c>
      <c r="R7" s="18"/>
      <c r="S7" s="18"/>
      <c r="T7" s="18"/>
      <c r="U7" s="2"/>
      <c r="V7" s="2" t="s">
        <v>3</v>
      </c>
      <c r="W7" s="2" t="s">
        <v>12</v>
      </c>
    </row>
    <row r="8" spans="1:23" x14ac:dyDescent="0.25">
      <c r="A8" s="2" t="s">
        <v>256</v>
      </c>
      <c r="B8" s="6">
        <v>1</v>
      </c>
      <c r="C8" s="2"/>
      <c r="D8" s="14"/>
      <c r="E8" s="2"/>
      <c r="F8" s="2"/>
      <c r="G8" s="2"/>
      <c r="H8" s="17">
        <v>2499</v>
      </c>
      <c r="I8" s="17">
        <v>321999</v>
      </c>
      <c r="J8" s="14" t="s">
        <v>93</v>
      </c>
      <c r="K8" s="14" t="s">
        <v>94</v>
      </c>
      <c r="L8" s="16" t="s">
        <v>96</v>
      </c>
      <c r="M8" s="26" t="s">
        <v>169</v>
      </c>
      <c r="N8" s="2" t="s">
        <v>97</v>
      </c>
      <c r="O8" s="2" t="s">
        <v>98</v>
      </c>
      <c r="P8" s="1" t="s">
        <v>127</v>
      </c>
      <c r="Q8" s="18" t="s">
        <v>109</v>
      </c>
      <c r="R8" s="18"/>
      <c r="S8" s="18"/>
      <c r="T8" s="18"/>
      <c r="U8" s="2"/>
      <c r="V8" s="2" t="s">
        <v>3</v>
      </c>
      <c r="W8" s="2" t="s">
        <v>12</v>
      </c>
    </row>
    <row r="9" spans="1:23" x14ac:dyDescent="0.25">
      <c r="A9" s="2" t="s">
        <v>251</v>
      </c>
      <c r="B9" s="6">
        <v>1</v>
      </c>
      <c r="C9" s="2"/>
      <c r="D9" s="14"/>
      <c r="E9" s="2"/>
      <c r="F9" s="2"/>
      <c r="G9" s="2"/>
      <c r="H9" s="17">
        <v>2499</v>
      </c>
      <c r="I9" s="17">
        <v>321999</v>
      </c>
      <c r="J9" s="14" t="s">
        <v>93</v>
      </c>
      <c r="K9" s="14" t="s">
        <v>94</v>
      </c>
      <c r="L9" s="16" t="s">
        <v>96</v>
      </c>
      <c r="M9" s="26" t="s">
        <v>169</v>
      </c>
      <c r="N9" s="2" t="s">
        <v>97</v>
      </c>
      <c r="O9" s="2" t="s">
        <v>98</v>
      </c>
      <c r="P9" s="1" t="s">
        <v>127</v>
      </c>
      <c r="Q9" s="18" t="s">
        <v>109</v>
      </c>
      <c r="R9" s="18"/>
      <c r="S9" s="18"/>
      <c r="T9" s="18"/>
      <c r="U9" s="2"/>
      <c r="V9" s="2" t="s">
        <v>3</v>
      </c>
      <c r="W9" s="2" t="s">
        <v>12</v>
      </c>
    </row>
    <row r="10" spans="1:23" x14ac:dyDescent="0.25">
      <c r="A10" s="2" t="s">
        <v>773</v>
      </c>
      <c r="B10" s="6">
        <v>1</v>
      </c>
      <c r="C10" s="2"/>
      <c r="D10" s="14"/>
      <c r="E10" s="2"/>
      <c r="F10" s="2"/>
      <c r="G10" s="2"/>
      <c r="H10" s="17">
        <v>2499</v>
      </c>
      <c r="I10" s="17">
        <v>321999</v>
      </c>
      <c r="J10" s="14" t="s">
        <v>93</v>
      </c>
      <c r="K10" s="14" t="s">
        <v>94</v>
      </c>
      <c r="L10" s="16" t="s">
        <v>96</v>
      </c>
      <c r="M10" s="26" t="s">
        <v>169</v>
      </c>
      <c r="N10" s="2" t="s">
        <v>97</v>
      </c>
      <c r="O10" s="2" t="s">
        <v>98</v>
      </c>
      <c r="P10" s="1" t="s">
        <v>127</v>
      </c>
      <c r="Q10" s="18" t="s">
        <v>109</v>
      </c>
      <c r="R10" s="18"/>
      <c r="S10" s="18"/>
      <c r="T10" s="18"/>
      <c r="U10" s="2"/>
      <c r="V10" s="2" t="s">
        <v>3</v>
      </c>
      <c r="W10" s="2" t="s">
        <v>12</v>
      </c>
    </row>
    <row r="11" spans="1:23" s="79" customFormat="1" x14ac:dyDescent="0.25">
      <c r="A11" s="73" t="s">
        <v>912</v>
      </c>
      <c r="B11" s="74">
        <v>1</v>
      </c>
      <c r="C11" s="73"/>
      <c r="D11" s="67"/>
      <c r="E11" s="73"/>
      <c r="F11" s="73"/>
      <c r="G11" s="73"/>
      <c r="H11" s="87">
        <v>2499</v>
      </c>
      <c r="I11" s="87">
        <v>321999</v>
      </c>
      <c r="J11" s="67" t="s">
        <v>93</v>
      </c>
      <c r="K11" s="67" t="s">
        <v>94</v>
      </c>
      <c r="L11" s="84" t="s">
        <v>96</v>
      </c>
      <c r="M11" s="92" t="s">
        <v>169</v>
      </c>
      <c r="N11" s="73" t="s">
        <v>97</v>
      </c>
      <c r="O11" s="73" t="s">
        <v>98</v>
      </c>
      <c r="P11" s="79" t="s">
        <v>127</v>
      </c>
      <c r="Q11" s="93" t="s">
        <v>109</v>
      </c>
      <c r="R11" s="93"/>
      <c r="S11" s="93"/>
      <c r="T11" s="93"/>
      <c r="U11" s="73"/>
      <c r="V11" s="73" t="s">
        <v>3</v>
      </c>
      <c r="W11" s="73" t="s">
        <v>12</v>
      </c>
    </row>
    <row r="12" spans="1:23" x14ac:dyDescent="0.25">
      <c r="A12" s="2" t="s">
        <v>913</v>
      </c>
      <c r="B12" s="6">
        <v>1</v>
      </c>
      <c r="C12" s="2"/>
      <c r="D12" s="14"/>
      <c r="E12" s="2"/>
      <c r="F12" s="2"/>
      <c r="G12" s="2"/>
      <c r="H12" s="17">
        <v>2499</v>
      </c>
      <c r="I12" s="17">
        <v>321999</v>
      </c>
      <c r="J12" s="14" t="s">
        <v>93</v>
      </c>
      <c r="K12" s="14" t="s">
        <v>94</v>
      </c>
      <c r="L12" s="16" t="s">
        <v>96</v>
      </c>
      <c r="M12" s="26" t="s">
        <v>169</v>
      </c>
      <c r="N12" s="2" t="s">
        <v>97</v>
      </c>
      <c r="O12" s="2" t="s">
        <v>98</v>
      </c>
      <c r="P12" s="1" t="s">
        <v>127</v>
      </c>
      <c r="Q12" s="18" t="s">
        <v>109</v>
      </c>
      <c r="R12" s="18"/>
      <c r="S12" s="18"/>
      <c r="T12" s="18"/>
      <c r="U12" s="2"/>
      <c r="V12" s="2" t="s">
        <v>3</v>
      </c>
      <c r="W12" s="2" t="s">
        <v>12</v>
      </c>
    </row>
    <row r="13" spans="1:23" x14ac:dyDescent="0.25">
      <c r="A13" s="2" t="s">
        <v>914</v>
      </c>
      <c r="B13" s="6">
        <v>1</v>
      </c>
      <c r="C13" s="2"/>
      <c r="D13" s="14"/>
      <c r="E13" s="2"/>
      <c r="F13" s="2"/>
      <c r="G13" s="2"/>
      <c r="H13" s="17">
        <v>2499</v>
      </c>
      <c r="I13" s="17">
        <v>321999</v>
      </c>
      <c r="J13" s="14" t="s">
        <v>93</v>
      </c>
      <c r="K13" s="14" t="s">
        <v>94</v>
      </c>
      <c r="L13" s="16" t="s">
        <v>96</v>
      </c>
      <c r="M13" s="26" t="s">
        <v>169</v>
      </c>
      <c r="N13" s="2" t="s">
        <v>97</v>
      </c>
      <c r="O13" s="2" t="s">
        <v>98</v>
      </c>
      <c r="P13" s="1" t="s">
        <v>127</v>
      </c>
      <c r="Q13" s="18" t="s">
        <v>109</v>
      </c>
      <c r="R13" s="18"/>
      <c r="S13" s="18"/>
      <c r="T13" s="18"/>
      <c r="U13" s="2"/>
      <c r="V13" s="2" t="s">
        <v>3</v>
      </c>
      <c r="W13" s="2" t="s">
        <v>12</v>
      </c>
    </row>
    <row r="14" spans="1:23" x14ac:dyDescent="0.25">
      <c r="A14" s="2" t="s">
        <v>872</v>
      </c>
      <c r="B14" s="6">
        <v>1</v>
      </c>
      <c r="C14" s="2"/>
      <c r="D14" s="14"/>
      <c r="E14" s="2"/>
      <c r="F14" s="2"/>
      <c r="G14" s="2"/>
      <c r="H14" s="17">
        <v>2499</v>
      </c>
      <c r="I14" s="17">
        <v>321999</v>
      </c>
      <c r="J14" s="14" t="s">
        <v>93</v>
      </c>
      <c r="K14" s="14" t="s">
        <v>94</v>
      </c>
      <c r="L14" s="16" t="s">
        <v>96</v>
      </c>
      <c r="M14" s="26" t="s">
        <v>169</v>
      </c>
      <c r="N14" s="2" t="s">
        <v>97</v>
      </c>
      <c r="O14" s="2" t="s">
        <v>98</v>
      </c>
      <c r="P14" s="1" t="s">
        <v>127</v>
      </c>
      <c r="Q14" s="18" t="s">
        <v>109</v>
      </c>
      <c r="R14" s="18"/>
      <c r="S14" s="18"/>
      <c r="T14" s="18"/>
      <c r="U14" s="2"/>
      <c r="V14" s="2" t="s">
        <v>3</v>
      </c>
      <c r="W14" s="2" t="s">
        <v>12</v>
      </c>
    </row>
    <row r="15" spans="1:23" x14ac:dyDescent="0.25">
      <c r="A15" s="2" t="s">
        <v>918</v>
      </c>
      <c r="B15" s="6">
        <v>1</v>
      </c>
      <c r="C15" s="2"/>
      <c r="D15" s="14"/>
      <c r="E15" s="2"/>
      <c r="F15" s="2"/>
      <c r="G15" s="2"/>
      <c r="H15" s="17">
        <v>2499</v>
      </c>
      <c r="I15" s="17">
        <v>321999</v>
      </c>
      <c r="J15" s="14" t="s">
        <v>93</v>
      </c>
      <c r="K15" s="14" t="s">
        <v>94</v>
      </c>
      <c r="L15" s="16" t="s">
        <v>96</v>
      </c>
      <c r="M15" s="26" t="s">
        <v>169</v>
      </c>
      <c r="N15" s="2" t="s">
        <v>97</v>
      </c>
      <c r="O15" s="2" t="s">
        <v>98</v>
      </c>
      <c r="P15" s="1" t="s">
        <v>127</v>
      </c>
      <c r="Q15" s="18" t="s">
        <v>109</v>
      </c>
      <c r="R15" s="18"/>
      <c r="S15" s="18"/>
      <c r="T15" s="18"/>
      <c r="U15" s="2"/>
      <c r="V15" s="2" t="s">
        <v>3</v>
      </c>
      <c r="W15" s="2" t="s">
        <v>12</v>
      </c>
    </row>
    <row r="16" spans="1:23" x14ac:dyDescent="0.25">
      <c r="A16" s="2" t="s">
        <v>919</v>
      </c>
      <c r="B16" s="6">
        <v>1</v>
      </c>
      <c r="C16" s="2"/>
      <c r="D16" s="14"/>
      <c r="E16" s="2"/>
      <c r="F16" s="2"/>
      <c r="G16" s="2"/>
      <c r="H16" s="17">
        <v>2499</v>
      </c>
      <c r="I16" s="17">
        <v>321999</v>
      </c>
      <c r="J16" s="14" t="s">
        <v>93</v>
      </c>
      <c r="K16" s="14" t="s">
        <v>94</v>
      </c>
      <c r="L16" s="16" t="s">
        <v>96</v>
      </c>
      <c r="M16" s="26" t="s">
        <v>169</v>
      </c>
      <c r="N16" s="2" t="s">
        <v>97</v>
      </c>
      <c r="O16" s="2" t="s">
        <v>98</v>
      </c>
      <c r="P16" s="1" t="s">
        <v>127</v>
      </c>
      <c r="Q16" s="18" t="s">
        <v>109</v>
      </c>
      <c r="R16" s="18"/>
      <c r="S16" s="18"/>
      <c r="T16" s="18"/>
      <c r="U16" s="2"/>
      <c r="V16" s="2" t="s">
        <v>3</v>
      </c>
      <c r="W16" s="2" t="s">
        <v>12</v>
      </c>
    </row>
    <row r="17" spans="1:23" x14ac:dyDescent="0.25">
      <c r="A17" s="2" t="s">
        <v>920</v>
      </c>
      <c r="B17" s="6">
        <v>1</v>
      </c>
      <c r="C17" s="2"/>
      <c r="D17" s="14"/>
      <c r="E17" s="2"/>
      <c r="F17" s="2"/>
      <c r="G17" s="2"/>
      <c r="H17" s="17">
        <v>2499</v>
      </c>
      <c r="I17" s="17">
        <v>321999</v>
      </c>
      <c r="J17" s="14" t="s">
        <v>93</v>
      </c>
      <c r="K17" s="14" t="s">
        <v>94</v>
      </c>
      <c r="L17" s="16" t="s">
        <v>96</v>
      </c>
      <c r="M17" s="26" t="s">
        <v>169</v>
      </c>
      <c r="N17" s="2" t="s">
        <v>97</v>
      </c>
      <c r="O17" s="2" t="s">
        <v>98</v>
      </c>
      <c r="P17" s="1" t="s">
        <v>127</v>
      </c>
      <c r="Q17" s="18" t="s">
        <v>109</v>
      </c>
      <c r="R17" s="18"/>
      <c r="S17" s="18"/>
      <c r="T17" s="18"/>
      <c r="U17" s="2"/>
      <c r="V17" s="2" t="s">
        <v>3</v>
      </c>
      <c r="W17" s="2" t="s">
        <v>12</v>
      </c>
    </row>
    <row r="18" spans="1:23" x14ac:dyDescent="0.25">
      <c r="A18" s="2" t="s">
        <v>921</v>
      </c>
      <c r="B18" s="6">
        <v>1</v>
      </c>
      <c r="C18" s="2"/>
      <c r="D18" s="14"/>
      <c r="E18" s="2"/>
      <c r="F18" s="2"/>
      <c r="G18" s="2"/>
      <c r="H18" s="17">
        <v>2499</v>
      </c>
      <c r="I18" s="17">
        <v>321999</v>
      </c>
      <c r="J18" s="14" t="s">
        <v>93</v>
      </c>
      <c r="K18" s="14" t="s">
        <v>94</v>
      </c>
      <c r="L18" s="16" t="s">
        <v>96</v>
      </c>
      <c r="M18" s="26" t="s">
        <v>169</v>
      </c>
      <c r="N18" s="2" t="s">
        <v>97</v>
      </c>
      <c r="O18" s="2" t="s">
        <v>98</v>
      </c>
      <c r="P18" s="1" t="s">
        <v>127</v>
      </c>
      <c r="Q18" s="18" t="s">
        <v>109</v>
      </c>
      <c r="R18" s="18"/>
      <c r="S18" s="18"/>
      <c r="T18" s="18"/>
      <c r="U18" s="2"/>
      <c r="V18" s="2" t="s">
        <v>3</v>
      </c>
      <c r="W18" s="2" t="s">
        <v>12</v>
      </c>
    </row>
    <row r="19" spans="1:23" x14ac:dyDescent="0.25">
      <c r="A19" s="2" t="s">
        <v>922</v>
      </c>
      <c r="B19" s="6">
        <v>1</v>
      </c>
      <c r="C19" s="2"/>
      <c r="D19" s="14"/>
      <c r="E19" s="2"/>
      <c r="F19" s="2"/>
      <c r="G19" s="2"/>
      <c r="H19" s="17">
        <v>2499</v>
      </c>
      <c r="I19" s="17">
        <v>321999</v>
      </c>
      <c r="J19" s="14" t="s">
        <v>93</v>
      </c>
      <c r="K19" s="14" t="s">
        <v>94</v>
      </c>
      <c r="L19" s="16" t="s">
        <v>96</v>
      </c>
      <c r="M19" s="26" t="s">
        <v>169</v>
      </c>
      <c r="N19" s="2" t="s">
        <v>97</v>
      </c>
      <c r="O19" s="2" t="s">
        <v>98</v>
      </c>
      <c r="P19" s="1" t="s">
        <v>127</v>
      </c>
      <c r="Q19" s="18" t="s">
        <v>109</v>
      </c>
      <c r="R19" s="18"/>
      <c r="S19" s="18"/>
      <c r="T19" s="18"/>
      <c r="U19" s="2"/>
      <c r="V19" s="2" t="s">
        <v>3</v>
      </c>
      <c r="W19" s="2" t="s">
        <v>12</v>
      </c>
    </row>
    <row r="20" spans="1:23" x14ac:dyDescent="0.25">
      <c r="A20" s="2" t="s">
        <v>1121</v>
      </c>
      <c r="B20" s="6">
        <v>1</v>
      </c>
      <c r="C20" s="2"/>
      <c r="D20" s="14"/>
      <c r="E20" s="2"/>
      <c r="F20" s="2"/>
      <c r="G20" s="2"/>
      <c r="H20" s="17">
        <v>2499</v>
      </c>
      <c r="I20" s="17">
        <v>321999</v>
      </c>
      <c r="J20" s="14" t="s">
        <v>93</v>
      </c>
      <c r="K20" s="14" t="s">
        <v>94</v>
      </c>
      <c r="L20" s="16" t="s">
        <v>96</v>
      </c>
      <c r="M20" s="26" t="s">
        <v>169</v>
      </c>
      <c r="N20" s="2" t="s">
        <v>97</v>
      </c>
      <c r="O20" s="2" t="s">
        <v>98</v>
      </c>
      <c r="P20" s="1" t="s">
        <v>127</v>
      </c>
      <c r="Q20" s="18" t="s">
        <v>109</v>
      </c>
      <c r="R20" s="18"/>
      <c r="S20" s="18"/>
      <c r="T20" s="18"/>
      <c r="U20" s="2"/>
      <c r="V20" s="2" t="s">
        <v>3</v>
      </c>
      <c r="W20" s="2" t="s">
        <v>12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20"/>
  <sheetViews>
    <sheetView zoomScale="85" zoomScaleNormal="85" workbookViewId="0">
      <selection activeCell="A21" sqref="A21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21.85546875" style="1" bestFit="1" customWidth="1" collapsed="1"/>
    <col min="4" max="4" width="24.85546875" style="1" bestFit="1" customWidth="1" collapsed="1"/>
    <col min="5" max="5" width="22.140625" style="1" bestFit="1" customWidth="1" collapsed="1"/>
    <col min="6" max="6" width="14" style="1" bestFit="1" customWidth="1" collapsed="1"/>
    <col min="7" max="8" width="15.42578125" style="1" bestFit="1" customWidth="1" collapsed="1"/>
    <col min="9" max="9" width="8.140625" style="1" bestFit="1" customWidth="1" collapsed="1"/>
    <col min="10" max="10" width="13.5703125" style="1" bestFit="1" customWidth="1" collapsed="1"/>
    <col min="11" max="16384" width="9.140625" style="1" collapsed="1"/>
  </cols>
  <sheetData>
    <row r="1" spans="1:10" x14ac:dyDescent="0.25">
      <c r="A1" s="4" t="s">
        <v>0</v>
      </c>
      <c r="B1" s="5" t="s">
        <v>18</v>
      </c>
      <c r="C1" s="5" t="s">
        <v>509</v>
      </c>
      <c r="D1" s="5" t="s">
        <v>508</v>
      </c>
      <c r="E1" s="5" t="s">
        <v>507</v>
      </c>
      <c r="F1" s="5" t="s">
        <v>506</v>
      </c>
      <c r="G1" s="5" t="s">
        <v>49</v>
      </c>
      <c r="H1" s="5" t="s">
        <v>49</v>
      </c>
      <c r="I1" s="5" t="s">
        <v>47</v>
      </c>
      <c r="J1" s="9" t="s">
        <v>805</v>
      </c>
    </row>
    <row r="2" spans="1:10" x14ac:dyDescent="0.25">
      <c r="A2" s="2" t="s">
        <v>1</v>
      </c>
      <c r="B2" s="6">
        <v>1</v>
      </c>
      <c r="C2" s="6"/>
      <c r="D2" s="11"/>
      <c r="E2" s="6"/>
      <c r="F2" s="6"/>
      <c r="G2" s="2"/>
      <c r="H2" s="2"/>
      <c r="I2" s="2"/>
      <c r="J2" s="2"/>
    </row>
    <row r="3" spans="1:10" x14ac:dyDescent="0.25">
      <c r="A3" s="2" t="s">
        <v>2</v>
      </c>
      <c r="B3" s="6">
        <v>1</v>
      </c>
      <c r="C3" s="6" t="s">
        <v>3</v>
      </c>
      <c r="D3" s="11" t="s">
        <v>505</v>
      </c>
      <c r="E3" s="6" t="s">
        <v>308</v>
      </c>
      <c r="F3" s="6" t="s">
        <v>308</v>
      </c>
      <c r="G3" s="2"/>
      <c r="H3" s="2"/>
      <c r="I3" s="2" t="s">
        <v>3</v>
      </c>
      <c r="J3" s="2" t="s">
        <v>865</v>
      </c>
    </row>
    <row r="4" spans="1:10" x14ac:dyDescent="0.25">
      <c r="A4" s="2" t="s">
        <v>16</v>
      </c>
      <c r="B4" s="6">
        <v>1</v>
      </c>
      <c r="C4" s="6"/>
      <c r="D4" s="6"/>
      <c r="E4" s="6"/>
      <c r="F4" s="6"/>
      <c r="G4" s="2"/>
      <c r="H4" s="2"/>
      <c r="I4" s="2" t="s">
        <v>3</v>
      </c>
      <c r="J4" s="2" t="s">
        <v>865</v>
      </c>
    </row>
    <row r="5" spans="1:10" x14ac:dyDescent="0.25">
      <c r="A5" s="2" t="s">
        <v>114</v>
      </c>
      <c r="B5" s="6">
        <v>1</v>
      </c>
      <c r="C5" s="6"/>
      <c r="D5" s="6"/>
      <c r="E5" s="6"/>
      <c r="F5" s="6"/>
      <c r="G5" s="2"/>
      <c r="H5" s="2"/>
      <c r="I5" s="2" t="s">
        <v>3</v>
      </c>
      <c r="J5" s="2" t="s">
        <v>865</v>
      </c>
    </row>
    <row r="6" spans="1:10" x14ac:dyDescent="0.25">
      <c r="A6" s="2" t="s">
        <v>248</v>
      </c>
      <c r="B6" s="6">
        <v>1</v>
      </c>
      <c r="C6" s="6"/>
      <c r="D6" s="6"/>
      <c r="E6" s="6"/>
      <c r="F6" s="6"/>
      <c r="G6" s="2"/>
      <c r="H6" s="2"/>
      <c r="I6" s="2" t="s">
        <v>3</v>
      </c>
      <c r="J6" s="2" t="s">
        <v>865</v>
      </c>
    </row>
    <row r="7" spans="1:10" x14ac:dyDescent="0.25">
      <c r="A7" s="2" t="s">
        <v>249</v>
      </c>
      <c r="B7" s="6">
        <v>1</v>
      </c>
      <c r="C7" s="6"/>
      <c r="D7" s="6"/>
      <c r="E7" s="6"/>
      <c r="F7" s="6"/>
      <c r="G7" s="2"/>
      <c r="H7" s="2"/>
      <c r="I7" s="2" t="s">
        <v>3</v>
      </c>
      <c r="J7" s="2" t="s">
        <v>865</v>
      </c>
    </row>
    <row r="8" spans="1:10" x14ac:dyDescent="0.25">
      <c r="A8" s="2" t="s">
        <v>256</v>
      </c>
      <c r="B8" s="6">
        <v>1</v>
      </c>
      <c r="C8" s="6"/>
      <c r="D8" s="6"/>
      <c r="E8" s="6"/>
      <c r="F8" s="6"/>
      <c r="G8" s="2"/>
      <c r="H8" s="2"/>
      <c r="I8" s="2" t="s">
        <v>3</v>
      </c>
      <c r="J8" s="2" t="s">
        <v>865</v>
      </c>
    </row>
    <row r="9" spans="1:10" x14ac:dyDescent="0.25">
      <c r="A9" s="2" t="s">
        <v>251</v>
      </c>
      <c r="B9" s="6">
        <v>1</v>
      </c>
      <c r="C9" s="6"/>
      <c r="D9" s="6"/>
      <c r="E9" s="6"/>
      <c r="F9" s="6"/>
      <c r="G9" s="2"/>
      <c r="H9" s="2"/>
      <c r="I9" s="2" t="s">
        <v>3</v>
      </c>
      <c r="J9" s="2" t="s">
        <v>865</v>
      </c>
    </row>
    <row r="10" spans="1:10" x14ac:dyDescent="0.25">
      <c r="A10" s="2" t="s">
        <v>773</v>
      </c>
      <c r="B10" s="6">
        <v>1</v>
      </c>
      <c r="C10" s="6" t="s">
        <v>3</v>
      </c>
      <c r="D10" s="11" t="s">
        <v>505</v>
      </c>
      <c r="E10" s="6" t="s">
        <v>308</v>
      </c>
      <c r="F10" s="6" t="s">
        <v>308</v>
      </c>
      <c r="G10" s="2"/>
      <c r="H10" s="2"/>
      <c r="I10" s="2" t="s">
        <v>3</v>
      </c>
      <c r="J10" s="2" t="s">
        <v>865</v>
      </c>
    </row>
    <row r="11" spans="1:10" s="79" customFormat="1" x14ac:dyDescent="0.25">
      <c r="A11" s="73" t="s">
        <v>912</v>
      </c>
      <c r="B11" s="74">
        <v>1</v>
      </c>
      <c r="C11" s="74"/>
      <c r="D11" s="91"/>
      <c r="E11" s="74"/>
      <c r="F11" s="74"/>
      <c r="G11" s="73"/>
      <c r="H11" s="73"/>
      <c r="I11" s="73" t="s">
        <v>3</v>
      </c>
      <c r="J11" s="73" t="s">
        <v>865</v>
      </c>
    </row>
    <row r="12" spans="1:10" x14ac:dyDescent="0.25">
      <c r="A12" s="2" t="s">
        <v>913</v>
      </c>
      <c r="B12" s="6">
        <v>1</v>
      </c>
      <c r="C12" s="6" t="s">
        <v>3</v>
      </c>
      <c r="D12" s="11" t="s">
        <v>505</v>
      </c>
      <c r="E12" s="6" t="s">
        <v>308</v>
      </c>
      <c r="F12" s="6" t="s">
        <v>308</v>
      </c>
      <c r="G12" s="2"/>
      <c r="H12" s="2"/>
      <c r="I12" s="2" t="s">
        <v>3</v>
      </c>
      <c r="J12" s="2" t="s">
        <v>865</v>
      </c>
    </row>
    <row r="13" spans="1:10" x14ac:dyDescent="0.25">
      <c r="A13" s="2" t="s">
        <v>914</v>
      </c>
      <c r="B13" s="6">
        <v>1</v>
      </c>
      <c r="C13" s="6" t="s">
        <v>3</v>
      </c>
      <c r="D13" s="11" t="s">
        <v>505</v>
      </c>
      <c r="E13" s="6" t="s">
        <v>308</v>
      </c>
      <c r="F13" s="6" t="s">
        <v>308</v>
      </c>
      <c r="G13" s="2"/>
      <c r="H13" s="2"/>
      <c r="I13" s="2" t="s">
        <v>3</v>
      </c>
      <c r="J13" s="2" t="s">
        <v>865</v>
      </c>
    </row>
    <row r="14" spans="1:10" x14ac:dyDescent="0.25">
      <c r="A14" s="2" t="s">
        <v>872</v>
      </c>
      <c r="B14" s="6">
        <v>1</v>
      </c>
      <c r="C14" s="6" t="s">
        <v>3</v>
      </c>
      <c r="D14" s="11" t="s">
        <v>505</v>
      </c>
      <c r="E14" s="6" t="s">
        <v>308</v>
      </c>
      <c r="F14" s="6" t="s">
        <v>308</v>
      </c>
      <c r="G14" s="2"/>
      <c r="H14" s="2"/>
      <c r="I14" s="2" t="s">
        <v>3</v>
      </c>
      <c r="J14" s="2" t="s">
        <v>865</v>
      </c>
    </row>
    <row r="15" spans="1:10" x14ac:dyDescent="0.25">
      <c r="A15" s="2" t="s">
        <v>918</v>
      </c>
      <c r="B15" s="6">
        <v>1</v>
      </c>
      <c r="C15" s="6" t="s">
        <v>3</v>
      </c>
      <c r="D15" s="11" t="s">
        <v>505</v>
      </c>
      <c r="E15" s="6" t="s">
        <v>308</v>
      </c>
      <c r="F15" s="6" t="s">
        <v>308</v>
      </c>
      <c r="G15" s="2"/>
      <c r="H15" s="2"/>
      <c r="I15" s="2" t="s">
        <v>3</v>
      </c>
      <c r="J15" s="2" t="s">
        <v>865</v>
      </c>
    </row>
    <row r="16" spans="1:10" x14ac:dyDescent="0.25">
      <c r="A16" s="2" t="s">
        <v>919</v>
      </c>
      <c r="B16" s="6">
        <v>1</v>
      </c>
      <c r="C16" s="6" t="s">
        <v>3</v>
      </c>
      <c r="D16" s="11" t="s">
        <v>505</v>
      </c>
      <c r="E16" s="6" t="s">
        <v>308</v>
      </c>
      <c r="F16" s="6" t="s">
        <v>308</v>
      </c>
      <c r="G16" s="2"/>
      <c r="H16" s="2"/>
      <c r="I16" s="2" t="s">
        <v>3</v>
      </c>
      <c r="J16" s="2" t="s">
        <v>865</v>
      </c>
    </row>
    <row r="17" spans="1:10" x14ac:dyDescent="0.25">
      <c r="A17" s="2" t="s">
        <v>920</v>
      </c>
      <c r="B17" s="6">
        <v>1</v>
      </c>
      <c r="C17" s="6" t="s">
        <v>3</v>
      </c>
      <c r="D17" s="11" t="s">
        <v>505</v>
      </c>
      <c r="E17" s="6" t="s">
        <v>308</v>
      </c>
      <c r="F17" s="6" t="s">
        <v>308</v>
      </c>
      <c r="G17" s="2"/>
      <c r="H17" s="2"/>
      <c r="I17" s="2" t="s">
        <v>3</v>
      </c>
      <c r="J17" s="2" t="s">
        <v>865</v>
      </c>
    </row>
    <row r="18" spans="1:10" x14ac:dyDescent="0.25">
      <c r="A18" s="2" t="s">
        <v>921</v>
      </c>
      <c r="B18" s="6">
        <v>1</v>
      </c>
      <c r="C18" s="6" t="s">
        <v>3</v>
      </c>
      <c r="D18" s="11" t="s">
        <v>505</v>
      </c>
      <c r="E18" s="6" t="s">
        <v>308</v>
      </c>
      <c r="F18" s="6" t="s">
        <v>308</v>
      </c>
      <c r="G18" s="2"/>
      <c r="H18" s="2"/>
      <c r="I18" s="2" t="s">
        <v>3</v>
      </c>
      <c r="J18" s="2" t="s">
        <v>865</v>
      </c>
    </row>
    <row r="19" spans="1:10" x14ac:dyDescent="0.25">
      <c r="A19" s="2" t="s">
        <v>922</v>
      </c>
      <c r="B19" s="6">
        <v>1</v>
      </c>
      <c r="C19" s="6" t="s">
        <v>3</v>
      </c>
      <c r="D19" s="11" t="s">
        <v>505</v>
      </c>
      <c r="E19" s="6" t="s">
        <v>308</v>
      </c>
      <c r="F19" s="6" t="s">
        <v>308</v>
      </c>
      <c r="G19" s="2"/>
      <c r="H19" s="2"/>
      <c r="I19" s="2" t="s">
        <v>3</v>
      </c>
      <c r="J19" s="2" t="s">
        <v>865</v>
      </c>
    </row>
    <row r="20" spans="1:10" x14ac:dyDescent="0.25">
      <c r="A20" s="2" t="s">
        <v>1121</v>
      </c>
      <c r="B20" s="6">
        <v>1</v>
      </c>
      <c r="C20" s="6" t="s">
        <v>3</v>
      </c>
      <c r="D20" s="11" t="s">
        <v>505</v>
      </c>
      <c r="E20" s="6" t="s">
        <v>308</v>
      </c>
      <c r="F20" s="6" t="s">
        <v>308</v>
      </c>
      <c r="G20" s="2"/>
      <c r="H20" s="2"/>
      <c r="I20" s="2" t="s">
        <v>3</v>
      </c>
      <c r="J20" s="2" t="s">
        <v>865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I20"/>
  <sheetViews>
    <sheetView zoomScale="85" zoomScaleNormal="85" workbookViewId="0">
      <selection activeCell="A21" sqref="A21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37.140625" style="1" bestFit="1" customWidth="1" collapsed="1"/>
    <col min="4" max="4" width="11.85546875" style="1" customWidth="1" collapsed="1"/>
    <col min="5" max="5" width="11.85546875" style="1" bestFit="1" customWidth="1" collapsed="1"/>
    <col min="6" max="6" width="72.7109375" style="1" bestFit="1" customWidth="1" collapsed="1"/>
    <col min="7" max="7" width="15.7109375" style="1" bestFit="1" customWidth="1" collapsed="1"/>
    <col min="8" max="8" width="8.140625" style="1" bestFit="1" customWidth="1" collapsed="1"/>
    <col min="9" max="9" width="20.140625" style="1" bestFit="1" customWidth="1" collapsed="1"/>
    <col min="10" max="16384" width="9.140625" style="1" collapsed="1"/>
  </cols>
  <sheetData>
    <row r="1" spans="1:9" x14ac:dyDescent="0.25">
      <c r="A1" s="4" t="s">
        <v>0</v>
      </c>
      <c r="B1" s="5" t="s">
        <v>18</v>
      </c>
      <c r="C1" s="5" t="s">
        <v>99</v>
      </c>
      <c r="D1" s="5" t="s">
        <v>504</v>
      </c>
      <c r="E1" s="5" t="s">
        <v>1025</v>
      </c>
      <c r="F1" s="5" t="s">
        <v>312</v>
      </c>
      <c r="G1" s="5" t="s">
        <v>50</v>
      </c>
      <c r="H1" s="5" t="s">
        <v>47</v>
      </c>
      <c r="I1" s="9" t="s">
        <v>805</v>
      </c>
    </row>
    <row r="2" spans="1:9" x14ac:dyDescent="0.25">
      <c r="A2" s="2" t="s">
        <v>1</v>
      </c>
      <c r="B2" s="6">
        <v>1</v>
      </c>
      <c r="C2" s="2"/>
      <c r="D2" s="2"/>
      <c r="E2" s="2"/>
      <c r="F2" s="2"/>
      <c r="G2" s="2"/>
      <c r="H2" s="2"/>
      <c r="I2" s="2"/>
    </row>
    <row r="3" spans="1:9" x14ac:dyDescent="0.25">
      <c r="A3" s="2" t="s">
        <v>2</v>
      </c>
      <c r="B3" s="6">
        <v>1</v>
      </c>
      <c r="C3" s="2" t="s">
        <v>100</v>
      </c>
      <c r="D3" s="14" t="s">
        <v>505</v>
      </c>
      <c r="E3" s="2" t="s">
        <v>3</v>
      </c>
      <c r="F3" s="2" t="s">
        <v>503</v>
      </c>
      <c r="G3" s="2"/>
      <c r="H3" s="2" t="s">
        <v>3</v>
      </c>
      <c r="I3" s="2" t="s">
        <v>866</v>
      </c>
    </row>
    <row r="4" spans="1:9" x14ac:dyDescent="0.25">
      <c r="A4" s="2" t="s">
        <v>16</v>
      </c>
      <c r="B4" s="6">
        <v>1</v>
      </c>
      <c r="C4" s="2" t="s">
        <v>100</v>
      </c>
      <c r="D4" s="2"/>
      <c r="E4" s="2" t="s">
        <v>3</v>
      </c>
      <c r="F4" s="2" t="s">
        <v>179</v>
      </c>
      <c r="G4" s="2"/>
      <c r="H4" s="2" t="s">
        <v>3</v>
      </c>
      <c r="I4" s="2" t="s">
        <v>866</v>
      </c>
    </row>
    <row r="5" spans="1:9" x14ac:dyDescent="0.25">
      <c r="A5" s="2" t="s">
        <v>114</v>
      </c>
      <c r="B5" s="6">
        <v>1</v>
      </c>
      <c r="C5" s="2" t="s">
        <v>100</v>
      </c>
      <c r="D5" s="2"/>
      <c r="E5" s="2" t="s">
        <v>3</v>
      </c>
      <c r="F5" s="2" t="s">
        <v>316</v>
      </c>
      <c r="G5" s="2"/>
      <c r="H5" s="2" t="s">
        <v>3</v>
      </c>
      <c r="I5" s="2" t="s">
        <v>866</v>
      </c>
    </row>
    <row r="6" spans="1:9" x14ac:dyDescent="0.25">
      <c r="A6" s="2" t="s">
        <v>248</v>
      </c>
      <c r="B6" s="6">
        <v>1</v>
      </c>
      <c r="C6" s="2" t="s">
        <v>100</v>
      </c>
      <c r="D6" s="2"/>
      <c r="E6" s="2" t="s">
        <v>3</v>
      </c>
      <c r="F6" s="2" t="s">
        <v>179</v>
      </c>
      <c r="G6" s="2"/>
      <c r="H6" s="2" t="s">
        <v>3</v>
      </c>
      <c r="I6" s="2" t="s">
        <v>866</v>
      </c>
    </row>
    <row r="7" spans="1:9" x14ac:dyDescent="0.25">
      <c r="A7" s="2" t="s">
        <v>249</v>
      </c>
      <c r="B7" s="6">
        <v>1</v>
      </c>
      <c r="C7" s="2" t="s">
        <v>100</v>
      </c>
      <c r="D7" s="2"/>
      <c r="E7" s="2" t="s">
        <v>3</v>
      </c>
      <c r="F7" s="2" t="s">
        <v>179</v>
      </c>
      <c r="G7" s="2"/>
      <c r="H7" s="2" t="s">
        <v>3</v>
      </c>
      <c r="I7" s="2" t="s">
        <v>866</v>
      </c>
    </row>
    <row r="8" spans="1:9" x14ac:dyDescent="0.25">
      <c r="A8" s="2" t="s">
        <v>256</v>
      </c>
      <c r="B8" s="6">
        <v>1</v>
      </c>
      <c r="C8" s="2" t="s">
        <v>100</v>
      </c>
      <c r="D8" s="2"/>
      <c r="E8" s="2" t="s">
        <v>3</v>
      </c>
      <c r="F8" s="2" t="s">
        <v>179</v>
      </c>
      <c r="G8" s="2"/>
      <c r="H8" s="2" t="s">
        <v>3</v>
      </c>
      <c r="I8" s="2" t="s">
        <v>866</v>
      </c>
    </row>
    <row r="9" spans="1:9" x14ac:dyDescent="0.25">
      <c r="A9" s="2" t="s">
        <v>251</v>
      </c>
      <c r="B9" s="6">
        <v>1</v>
      </c>
      <c r="C9" s="2" t="s">
        <v>100</v>
      </c>
      <c r="D9" s="2"/>
      <c r="E9" s="2" t="s">
        <v>3</v>
      </c>
      <c r="F9" s="2" t="s">
        <v>179</v>
      </c>
      <c r="G9" s="2"/>
      <c r="H9" s="2" t="s">
        <v>3</v>
      </c>
      <c r="I9" s="2" t="s">
        <v>866</v>
      </c>
    </row>
    <row r="10" spans="1:9" x14ac:dyDescent="0.25">
      <c r="A10" s="2" t="s">
        <v>773</v>
      </c>
      <c r="B10" s="6">
        <v>1</v>
      </c>
      <c r="C10" s="2" t="s">
        <v>789</v>
      </c>
      <c r="D10" s="2"/>
      <c r="E10" s="2" t="s">
        <v>3</v>
      </c>
      <c r="F10" s="2" t="s">
        <v>788</v>
      </c>
      <c r="G10" s="2"/>
      <c r="H10" s="2" t="s">
        <v>3</v>
      </c>
      <c r="I10" s="2" t="s">
        <v>866</v>
      </c>
    </row>
    <row r="11" spans="1:9" s="79" customFormat="1" x14ac:dyDescent="0.25">
      <c r="A11" s="73" t="s">
        <v>912</v>
      </c>
      <c r="B11" s="74">
        <v>1</v>
      </c>
      <c r="C11" s="73" t="s">
        <v>789</v>
      </c>
      <c r="D11" s="73"/>
      <c r="E11" s="73" t="s">
        <v>3</v>
      </c>
      <c r="F11" s="73" t="s">
        <v>316</v>
      </c>
      <c r="G11" s="73"/>
      <c r="H11" s="73" t="s">
        <v>3</v>
      </c>
      <c r="I11" s="73" t="s">
        <v>866</v>
      </c>
    </row>
    <row r="12" spans="1:9" x14ac:dyDescent="0.25">
      <c r="A12" s="2" t="s">
        <v>913</v>
      </c>
      <c r="B12" s="6">
        <v>1</v>
      </c>
      <c r="C12" s="2" t="s">
        <v>789</v>
      </c>
      <c r="D12" s="2"/>
      <c r="E12" s="2" t="s">
        <v>3</v>
      </c>
      <c r="F12" s="2" t="s">
        <v>788</v>
      </c>
      <c r="G12" s="2"/>
      <c r="H12" s="2" t="s">
        <v>3</v>
      </c>
      <c r="I12" s="2" t="s">
        <v>866</v>
      </c>
    </row>
    <row r="13" spans="1:9" x14ac:dyDescent="0.25">
      <c r="A13" s="2" t="s">
        <v>914</v>
      </c>
      <c r="B13" s="6">
        <v>1</v>
      </c>
      <c r="C13" s="2" t="s">
        <v>789</v>
      </c>
      <c r="D13" s="2"/>
      <c r="E13" s="2" t="s">
        <v>3</v>
      </c>
      <c r="F13" s="2" t="s">
        <v>788</v>
      </c>
      <c r="G13" s="2"/>
      <c r="H13" s="2" t="s">
        <v>3</v>
      </c>
      <c r="I13" s="2" t="s">
        <v>866</v>
      </c>
    </row>
    <row r="14" spans="1:9" x14ac:dyDescent="0.25">
      <c r="A14" s="2" t="s">
        <v>872</v>
      </c>
      <c r="B14" s="6">
        <v>1</v>
      </c>
      <c r="C14" s="2" t="s">
        <v>789</v>
      </c>
      <c r="D14" s="2"/>
      <c r="E14" s="2" t="s">
        <v>3</v>
      </c>
      <c r="F14" s="2" t="s">
        <v>788</v>
      </c>
      <c r="G14" s="2"/>
      <c r="H14" s="2" t="s">
        <v>3</v>
      </c>
      <c r="I14" s="2" t="s">
        <v>866</v>
      </c>
    </row>
    <row r="15" spans="1:9" x14ac:dyDescent="0.25">
      <c r="A15" s="2" t="s">
        <v>918</v>
      </c>
      <c r="B15" s="6">
        <v>1</v>
      </c>
      <c r="C15" s="2" t="s">
        <v>789</v>
      </c>
      <c r="D15" s="2"/>
      <c r="E15" s="2" t="s">
        <v>3</v>
      </c>
      <c r="F15" s="2" t="s">
        <v>788</v>
      </c>
      <c r="G15" s="2"/>
      <c r="H15" s="2" t="s">
        <v>3</v>
      </c>
      <c r="I15" s="2" t="s">
        <v>866</v>
      </c>
    </row>
    <row r="16" spans="1:9" x14ac:dyDescent="0.25">
      <c r="A16" s="2" t="s">
        <v>919</v>
      </c>
      <c r="B16" s="6">
        <v>1</v>
      </c>
      <c r="C16" s="2" t="s">
        <v>789</v>
      </c>
      <c r="D16" s="2"/>
      <c r="E16" s="2" t="s">
        <v>3</v>
      </c>
      <c r="F16" s="2" t="s">
        <v>788</v>
      </c>
      <c r="G16" s="2"/>
      <c r="H16" s="2" t="s">
        <v>3</v>
      </c>
      <c r="I16" s="2" t="s">
        <v>866</v>
      </c>
    </row>
    <row r="17" spans="1:9" x14ac:dyDescent="0.25">
      <c r="A17" s="2" t="s">
        <v>920</v>
      </c>
      <c r="B17" s="6">
        <v>1</v>
      </c>
      <c r="C17" s="2" t="s">
        <v>789</v>
      </c>
      <c r="D17" s="2"/>
      <c r="E17" s="2" t="s">
        <v>3</v>
      </c>
      <c r="F17" s="2" t="s">
        <v>788</v>
      </c>
      <c r="G17" s="2"/>
      <c r="H17" s="2" t="s">
        <v>3</v>
      </c>
      <c r="I17" s="2" t="s">
        <v>866</v>
      </c>
    </row>
    <row r="18" spans="1:9" x14ac:dyDescent="0.25">
      <c r="A18" s="2" t="s">
        <v>921</v>
      </c>
      <c r="B18" s="6">
        <v>1</v>
      </c>
      <c r="C18" s="2" t="s">
        <v>789</v>
      </c>
      <c r="D18" s="2"/>
      <c r="E18" s="2" t="s">
        <v>3</v>
      </c>
      <c r="F18" s="2" t="s">
        <v>788</v>
      </c>
      <c r="G18" s="2"/>
      <c r="H18" s="2" t="s">
        <v>3</v>
      </c>
      <c r="I18" s="2" t="s">
        <v>866</v>
      </c>
    </row>
    <row r="19" spans="1:9" x14ac:dyDescent="0.25">
      <c r="A19" s="2" t="s">
        <v>922</v>
      </c>
      <c r="B19" s="6">
        <v>1</v>
      </c>
      <c r="C19" s="2" t="s">
        <v>789</v>
      </c>
      <c r="D19" s="2"/>
      <c r="E19" s="2" t="s">
        <v>3</v>
      </c>
      <c r="F19" s="2" t="s">
        <v>788</v>
      </c>
      <c r="G19" s="2"/>
      <c r="H19" s="2" t="s">
        <v>3</v>
      </c>
      <c r="I19" s="2" t="s">
        <v>866</v>
      </c>
    </row>
    <row r="20" spans="1:9" x14ac:dyDescent="0.25">
      <c r="A20" s="2" t="s">
        <v>1121</v>
      </c>
      <c r="B20" s="6">
        <v>1</v>
      </c>
      <c r="C20" s="2" t="s">
        <v>789</v>
      </c>
      <c r="D20" s="2"/>
      <c r="E20" s="2" t="s">
        <v>3</v>
      </c>
      <c r="F20" s="2" t="s">
        <v>788</v>
      </c>
      <c r="G20" s="2"/>
      <c r="H20" s="2" t="s">
        <v>3</v>
      </c>
      <c r="I20" s="2" t="s">
        <v>866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D20"/>
  <sheetViews>
    <sheetView zoomScale="85" zoomScaleNormal="85" workbookViewId="0">
      <selection activeCell="A21" sqref="A21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8.140625" style="1" bestFit="1" customWidth="1" collapsed="1"/>
    <col min="4" max="4" width="15" style="1" bestFit="1" customWidth="1" collapsed="1"/>
    <col min="5" max="16384" width="9.140625" style="1" collapsed="1"/>
  </cols>
  <sheetData>
    <row r="1" spans="1:4" x14ac:dyDescent="0.25">
      <c r="A1" s="4" t="s">
        <v>0</v>
      </c>
      <c r="B1" s="5" t="s">
        <v>18</v>
      </c>
      <c r="C1" s="5" t="s">
        <v>47</v>
      </c>
      <c r="D1" s="19" t="s">
        <v>805</v>
      </c>
    </row>
    <row r="2" spans="1:4" x14ac:dyDescent="0.25">
      <c r="A2" s="2" t="s">
        <v>1</v>
      </c>
      <c r="B2" s="6">
        <v>1</v>
      </c>
      <c r="C2" s="2"/>
      <c r="D2" s="2"/>
    </row>
    <row r="3" spans="1:4" x14ac:dyDescent="0.25">
      <c r="A3" s="2" t="s">
        <v>2</v>
      </c>
      <c r="B3" s="6">
        <v>1</v>
      </c>
      <c r="C3" s="2" t="s">
        <v>3</v>
      </c>
      <c r="D3" s="2" t="s">
        <v>867</v>
      </c>
    </row>
    <row r="4" spans="1:4" x14ac:dyDescent="0.25">
      <c r="A4" s="2" t="s">
        <v>16</v>
      </c>
      <c r="B4" s="6">
        <v>1</v>
      </c>
      <c r="C4" s="2" t="s">
        <v>3</v>
      </c>
      <c r="D4" s="2" t="s">
        <v>867</v>
      </c>
    </row>
    <row r="5" spans="1:4" x14ac:dyDescent="0.25">
      <c r="A5" s="2" t="s">
        <v>114</v>
      </c>
      <c r="B5" s="6">
        <v>1</v>
      </c>
      <c r="C5" s="2" t="s">
        <v>3</v>
      </c>
      <c r="D5" s="2" t="s">
        <v>867</v>
      </c>
    </row>
    <row r="6" spans="1:4" x14ac:dyDescent="0.25">
      <c r="A6" s="2" t="s">
        <v>248</v>
      </c>
      <c r="B6" s="6">
        <v>1</v>
      </c>
      <c r="C6" s="2" t="s">
        <v>3</v>
      </c>
      <c r="D6" s="2" t="s">
        <v>867</v>
      </c>
    </row>
    <row r="7" spans="1:4" x14ac:dyDescent="0.25">
      <c r="A7" s="2" t="s">
        <v>249</v>
      </c>
      <c r="B7" s="6">
        <v>1</v>
      </c>
      <c r="C7" s="2" t="s">
        <v>3</v>
      </c>
      <c r="D7" s="2" t="s">
        <v>867</v>
      </c>
    </row>
    <row r="8" spans="1:4" x14ac:dyDescent="0.25">
      <c r="A8" s="2" t="s">
        <v>256</v>
      </c>
      <c r="B8" s="6">
        <v>1</v>
      </c>
      <c r="C8" s="2" t="s">
        <v>3</v>
      </c>
      <c r="D8" s="2" t="s">
        <v>867</v>
      </c>
    </row>
    <row r="9" spans="1:4" x14ac:dyDescent="0.25">
      <c r="A9" s="2" t="s">
        <v>251</v>
      </c>
      <c r="B9" s="6">
        <v>1</v>
      </c>
      <c r="C9" s="2" t="s">
        <v>3</v>
      </c>
      <c r="D9" s="2" t="s">
        <v>867</v>
      </c>
    </row>
    <row r="10" spans="1:4" x14ac:dyDescent="0.25">
      <c r="A10" s="2" t="s">
        <v>773</v>
      </c>
      <c r="B10" s="6">
        <v>1</v>
      </c>
      <c r="C10" s="2" t="s">
        <v>3</v>
      </c>
      <c r="D10" s="2" t="s">
        <v>867</v>
      </c>
    </row>
    <row r="11" spans="1:4" s="79" customFormat="1" x14ac:dyDescent="0.25">
      <c r="A11" s="73" t="s">
        <v>912</v>
      </c>
      <c r="B11" s="74">
        <v>1</v>
      </c>
      <c r="C11" s="73" t="s">
        <v>3</v>
      </c>
      <c r="D11" s="73" t="s">
        <v>867</v>
      </c>
    </row>
    <row r="12" spans="1:4" s="79" customFormat="1" x14ac:dyDescent="0.25">
      <c r="A12" s="73" t="s">
        <v>913</v>
      </c>
      <c r="B12" s="74">
        <v>1</v>
      </c>
      <c r="C12" s="73" t="s">
        <v>3</v>
      </c>
      <c r="D12" s="73" t="s">
        <v>867</v>
      </c>
    </row>
    <row r="13" spans="1:4" s="79" customFormat="1" x14ac:dyDescent="0.25">
      <c r="A13" s="73" t="s">
        <v>914</v>
      </c>
      <c r="B13" s="74">
        <v>1</v>
      </c>
      <c r="C13" s="73" t="s">
        <v>3</v>
      </c>
      <c r="D13" s="73" t="s">
        <v>867</v>
      </c>
    </row>
    <row r="14" spans="1:4" x14ac:dyDescent="0.25">
      <c r="A14" s="2" t="s">
        <v>872</v>
      </c>
      <c r="B14" s="6">
        <v>1</v>
      </c>
      <c r="C14" s="2" t="s">
        <v>3</v>
      </c>
      <c r="D14" s="2" t="s">
        <v>867</v>
      </c>
    </row>
    <row r="15" spans="1:4" x14ac:dyDescent="0.25">
      <c r="A15" s="2" t="s">
        <v>918</v>
      </c>
      <c r="B15" s="6">
        <v>1</v>
      </c>
      <c r="C15" s="2" t="s">
        <v>3</v>
      </c>
      <c r="D15" s="2" t="s">
        <v>867</v>
      </c>
    </row>
    <row r="16" spans="1:4" x14ac:dyDescent="0.25">
      <c r="A16" s="2" t="s">
        <v>919</v>
      </c>
      <c r="B16" s="6">
        <v>1</v>
      </c>
      <c r="C16" s="2" t="s">
        <v>3</v>
      </c>
      <c r="D16" s="2" t="s">
        <v>867</v>
      </c>
    </row>
    <row r="17" spans="1:4" x14ac:dyDescent="0.25">
      <c r="A17" s="2" t="s">
        <v>920</v>
      </c>
      <c r="B17" s="6">
        <v>1</v>
      </c>
      <c r="C17" s="2" t="s">
        <v>3</v>
      </c>
      <c r="D17" s="2" t="s">
        <v>867</v>
      </c>
    </row>
    <row r="18" spans="1:4" x14ac:dyDescent="0.25">
      <c r="A18" s="2" t="s">
        <v>921</v>
      </c>
      <c r="B18" s="6">
        <v>1</v>
      </c>
      <c r="C18" s="2" t="s">
        <v>3</v>
      </c>
      <c r="D18" s="2" t="s">
        <v>867</v>
      </c>
    </row>
    <row r="19" spans="1:4" x14ac:dyDescent="0.25">
      <c r="A19" s="2" t="s">
        <v>922</v>
      </c>
      <c r="B19" s="6">
        <v>1</v>
      </c>
      <c r="C19" s="2" t="s">
        <v>3</v>
      </c>
      <c r="D19" s="2" t="s">
        <v>867</v>
      </c>
    </row>
    <row r="20" spans="1:4" x14ac:dyDescent="0.25">
      <c r="A20" s="2" t="s">
        <v>1121</v>
      </c>
      <c r="B20" s="6">
        <v>1</v>
      </c>
      <c r="C20" s="2" t="s">
        <v>3</v>
      </c>
      <c r="D20" s="2" t="s">
        <v>867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G20"/>
  <sheetViews>
    <sheetView zoomScale="85" zoomScaleNormal="85" workbookViewId="0">
      <selection activeCell="A21" sqref="A21"/>
    </sheetView>
  </sheetViews>
  <sheetFormatPr defaultRowHeight="15" x14ac:dyDescent="0.25"/>
  <cols>
    <col min="1" max="1" width="7.140625" style="1" bestFit="1" customWidth="1" collapsed="1"/>
    <col min="2" max="2" width="9.5703125" style="1" bestFit="1" customWidth="1" collapsed="1"/>
    <col min="3" max="3" width="10.28515625" style="1" bestFit="1" customWidth="1" collapsed="1"/>
    <col min="4" max="4" width="19.140625" style="1" bestFit="1" customWidth="1" collapsed="1"/>
    <col min="5" max="5" width="8.140625" style="1" bestFit="1" customWidth="1" collapsed="1"/>
    <col min="6" max="6" width="13.5703125" style="1" bestFit="1" customWidth="1" collapsed="1"/>
    <col min="7" max="16384" width="9.140625" style="1" collapsed="1"/>
  </cols>
  <sheetData>
    <row r="1" spans="1:7" x14ac:dyDescent="0.25">
      <c r="A1" s="4" t="s">
        <v>0</v>
      </c>
      <c r="B1" s="5" t="s">
        <v>53</v>
      </c>
      <c r="C1" s="5" t="s">
        <v>52</v>
      </c>
      <c r="D1" s="5" t="s">
        <v>51</v>
      </c>
      <c r="E1" s="5" t="s">
        <v>47</v>
      </c>
      <c r="F1" s="19" t="s">
        <v>805</v>
      </c>
      <c r="G1" s="3"/>
    </row>
    <row r="2" spans="1:7" x14ac:dyDescent="0.25">
      <c r="A2" s="2" t="s">
        <v>1</v>
      </c>
      <c r="B2" s="6">
        <v>1</v>
      </c>
      <c r="C2" s="2"/>
      <c r="D2" s="2"/>
      <c r="E2" s="2"/>
      <c r="F2" s="2"/>
    </row>
    <row r="3" spans="1:7" x14ac:dyDescent="0.25">
      <c r="A3" s="2" t="s">
        <v>2</v>
      </c>
      <c r="B3" s="6">
        <v>1</v>
      </c>
      <c r="C3" s="2"/>
      <c r="D3" s="2"/>
      <c r="E3" s="2" t="s">
        <v>3</v>
      </c>
      <c r="F3" s="2" t="s">
        <v>14</v>
      </c>
    </row>
    <row r="4" spans="1:7" x14ac:dyDescent="0.25">
      <c r="A4" s="2" t="s">
        <v>16</v>
      </c>
      <c r="B4" s="6">
        <v>1</v>
      </c>
      <c r="C4" s="2"/>
      <c r="D4" s="2"/>
      <c r="E4" s="2" t="s">
        <v>3</v>
      </c>
      <c r="F4" s="2" t="s">
        <v>14</v>
      </c>
    </row>
    <row r="5" spans="1:7" x14ac:dyDescent="0.25">
      <c r="A5" s="2" t="s">
        <v>114</v>
      </c>
      <c r="B5" s="6">
        <v>1</v>
      </c>
      <c r="C5" s="2"/>
      <c r="D5" s="2"/>
      <c r="E5" s="2" t="s">
        <v>3</v>
      </c>
      <c r="F5" s="2" t="s">
        <v>14</v>
      </c>
    </row>
    <row r="6" spans="1:7" x14ac:dyDescent="0.25">
      <c r="A6" s="2" t="s">
        <v>248</v>
      </c>
      <c r="B6" s="6">
        <v>1</v>
      </c>
      <c r="C6" s="2"/>
      <c r="D6" s="2"/>
      <c r="E6" s="2" t="s">
        <v>3</v>
      </c>
      <c r="F6" s="2" t="s">
        <v>14</v>
      </c>
    </row>
    <row r="7" spans="1:7" x14ac:dyDescent="0.25">
      <c r="A7" s="2" t="s">
        <v>249</v>
      </c>
      <c r="B7" s="6">
        <v>1</v>
      </c>
      <c r="C7" s="2"/>
      <c r="D7" s="2"/>
      <c r="E7" s="2" t="s">
        <v>3</v>
      </c>
      <c r="F7" s="2" t="s">
        <v>14</v>
      </c>
    </row>
    <row r="8" spans="1:7" x14ac:dyDescent="0.25">
      <c r="A8" s="2" t="s">
        <v>256</v>
      </c>
      <c r="B8" s="6">
        <v>1</v>
      </c>
      <c r="C8" s="2"/>
      <c r="D8" s="2"/>
      <c r="E8" s="2" t="s">
        <v>3</v>
      </c>
      <c r="F8" s="2" t="s">
        <v>14</v>
      </c>
    </row>
    <row r="9" spans="1:7" x14ac:dyDescent="0.25">
      <c r="A9" s="2" t="s">
        <v>251</v>
      </c>
      <c r="B9" s="6">
        <v>1</v>
      </c>
      <c r="C9" s="2"/>
      <c r="D9" s="2"/>
      <c r="E9" s="2" t="s">
        <v>3</v>
      </c>
      <c r="F9" s="2" t="s">
        <v>14</v>
      </c>
    </row>
    <row r="10" spans="1:7" x14ac:dyDescent="0.25">
      <c r="A10" s="2" t="s">
        <v>773</v>
      </c>
      <c r="B10" s="6">
        <v>1</v>
      </c>
      <c r="C10" s="2"/>
      <c r="D10" s="2"/>
      <c r="E10" s="2" t="s">
        <v>3</v>
      </c>
      <c r="F10" s="2" t="s">
        <v>14</v>
      </c>
    </row>
    <row r="11" spans="1:7" s="79" customFormat="1" x14ac:dyDescent="0.25">
      <c r="A11" s="73" t="s">
        <v>912</v>
      </c>
      <c r="B11" s="74">
        <v>1</v>
      </c>
      <c r="C11" s="73"/>
      <c r="D11" s="73"/>
      <c r="E11" s="73" t="s">
        <v>3</v>
      </c>
      <c r="F11" s="73" t="s">
        <v>14</v>
      </c>
    </row>
    <row r="12" spans="1:7" s="79" customFormat="1" x14ac:dyDescent="0.25">
      <c r="A12" s="73" t="s">
        <v>913</v>
      </c>
      <c r="B12" s="74">
        <v>1</v>
      </c>
      <c r="C12" s="73"/>
      <c r="D12" s="73"/>
      <c r="E12" s="73" t="s">
        <v>3</v>
      </c>
      <c r="F12" s="73" t="s">
        <v>14</v>
      </c>
    </row>
    <row r="13" spans="1:7" s="79" customFormat="1" x14ac:dyDescent="0.25">
      <c r="A13" s="73" t="s">
        <v>914</v>
      </c>
      <c r="B13" s="74">
        <v>1</v>
      </c>
      <c r="C13" s="73"/>
      <c r="D13" s="73"/>
      <c r="E13" s="73" t="s">
        <v>3</v>
      </c>
      <c r="F13" s="73" t="s">
        <v>14</v>
      </c>
    </row>
    <row r="14" spans="1:7" x14ac:dyDescent="0.25">
      <c r="A14" s="2" t="s">
        <v>872</v>
      </c>
      <c r="B14" s="6">
        <v>1</v>
      </c>
      <c r="C14" s="2"/>
      <c r="D14" s="2"/>
      <c r="E14" s="2" t="s">
        <v>3</v>
      </c>
      <c r="F14" s="2" t="s">
        <v>14</v>
      </c>
    </row>
    <row r="15" spans="1:7" x14ac:dyDescent="0.25">
      <c r="A15" s="2" t="s">
        <v>918</v>
      </c>
      <c r="B15" s="6">
        <v>1</v>
      </c>
      <c r="C15" s="2"/>
      <c r="D15" s="2"/>
      <c r="E15" s="2" t="s">
        <v>3</v>
      </c>
      <c r="F15" s="2" t="s">
        <v>14</v>
      </c>
    </row>
    <row r="16" spans="1:7" x14ac:dyDescent="0.25">
      <c r="A16" s="2" t="s">
        <v>919</v>
      </c>
      <c r="B16" s="6">
        <v>1</v>
      </c>
      <c r="C16" s="2"/>
      <c r="D16" s="2"/>
      <c r="E16" s="2" t="s">
        <v>3</v>
      </c>
      <c r="F16" s="2" t="s">
        <v>14</v>
      </c>
    </row>
    <row r="17" spans="1:6" x14ac:dyDescent="0.25">
      <c r="A17" s="2" t="s">
        <v>920</v>
      </c>
      <c r="B17" s="6">
        <v>1</v>
      </c>
      <c r="C17" s="2"/>
      <c r="D17" s="2"/>
      <c r="E17" s="2" t="s">
        <v>3</v>
      </c>
      <c r="F17" s="2" t="s">
        <v>14</v>
      </c>
    </row>
    <row r="18" spans="1:6" x14ac:dyDescent="0.25">
      <c r="A18" s="2" t="s">
        <v>921</v>
      </c>
      <c r="B18" s="6">
        <v>1</v>
      </c>
      <c r="C18" s="2"/>
      <c r="D18" s="2"/>
      <c r="E18" s="2" t="s">
        <v>3</v>
      </c>
      <c r="F18" s="2" t="s">
        <v>14</v>
      </c>
    </row>
    <row r="19" spans="1:6" x14ac:dyDescent="0.25">
      <c r="A19" s="2" t="s">
        <v>922</v>
      </c>
      <c r="B19" s="6">
        <v>1</v>
      </c>
      <c r="C19" s="2"/>
      <c r="D19" s="2"/>
      <c r="E19" s="2" t="s">
        <v>3</v>
      </c>
      <c r="F19" s="2" t="s">
        <v>14</v>
      </c>
    </row>
    <row r="20" spans="1:6" x14ac:dyDescent="0.25">
      <c r="A20" s="2" t="s">
        <v>1121</v>
      </c>
      <c r="B20" s="6">
        <v>1</v>
      </c>
      <c r="C20" s="2"/>
      <c r="D20" s="2"/>
      <c r="E20" s="2" t="s">
        <v>3</v>
      </c>
      <c r="F20" s="2" t="s">
        <v>14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Q21"/>
  <sheetViews>
    <sheetView zoomScale="85" zoomScaleNormal="85" workbookViewId="0">
      <selection activeCell="H21" sqref="H21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9.28515625" style="1" bestFit="1" customWidth="1" collapsed="1"/>
    <col min="4" max="4" width="15" style="1" bestFit="1" customWidth="1" collapsed="1"/>
    <col min="5" max="5" width="10.7109375" style="1" bestFit="1" customWidth="1" collapsed="1"/>
    <col min="6" max="6" width="15.5703125" style="1" bestFit="1" customWidth="1" collapsed="1"/>
    <col min="7" max="7" width="22" style="1" bestFit="1" customWidth="1" collapsed="1"/>
    <col min="8" max="8" width="14" style="1" bestFit="1" customWidth="1" collapsed="1"/>
    <col min="9" max="10" width="8.7109375" style="1" customWidth="1" collapsed="1"/>
    <col min="11" max="11" width="15" style="1" bestFit="1" customWidth="1" collapsed="1"/>
    <col min="12" max="13" width="12.7109375" style="1" customWidth="1" collapsed="1"/>
    <col min="14" max="14" width="11.7109375" style="1" bestFit="1" customWidth="1" collapsed="1"/>
    <col min="15" max="15" width="12.7109375" style="1" bestFit="1" customWidth="1" collapsed="1"/>
    <col min="16" max="16" width="13.5703125" style="1" bestFit="1" customWidth="1" collapsed="1"/>
    <col min="17" max="16384" width="9.140625" style="1" collapsed="1"/>
  </cols>
  <sheetData>
    <row r="1" spans="1:17" x14ac:dyDescent="0.25">
      <c r="A1" s="4" t="s">
        <v>0</v>
      </c>
      <c r="B1" s="5" t="s">
        <v>18</v>
      </c>
      <c r="C1" s="69" t="s">
        <v>1234</v>
      </c>
      <c r="D1" s="69" t="s">
        <v>54</v>
      </c>
      <c r="E1" s="69" t="s">
        <v>1235</v>
      </c>
      <c r="F1" s="69" t="s">
        <v>1236</v>
      </c>
      <c r="G1" s="69" t="s">
        <v>1237</v>
      </c>
      <c r="H1" s="69" t="s">
        <v>1238</v>
      </c>
      <c r="I1" s="5"/>
      <c r="J1" s="5"/>
      <c r="K1" s="5" t="s">
        <v>54</v>
      </c>
      <c r="L1" s="5" t="s">
        <v>110</v>
      </c>
      <c r="M1" s="5" t="s">
        <v>111</v>
      </c>
      <c r="N1" s="5" t="s">
        <v>101</v>
      </c>
      <c r="O1" s="5" t="s">
        <v>47</v>
      </c>
      <c r="P1" s="19" t="s">
        <v>805</v>
      </c>
      <c r="Q1" s="3"/>
    </row>
    <row r="2" spans="1:17" x14ac:dyDescent="0.25">
      <c r="A2" s="2" t="s">
        <v>1</v>
      </c>
      <c r="B2" s="6">
        <v>1</v>
      </c>
      <c r="C2" s="6"/>
      <c r="D2" s="6"/>
      <c r="E2" s="6"/>
      <c r="F2" s="6"/>
      <c r="G2" s="6"/>
      <c r="H2" s="6"/>
      <c r="I2" s="6"/>
      <c r="J2" s="6"/>
      <c r="K2" s="2"/>
      <c r="L2" s="2"/>
      <c r="M2" s="2"/>
      <c r="N2" s="2"/>
      <c r="O2" s="2"/>
      <c r="P2" s="2"/>
    </row>
    <row r="3" spans="1:17" x14ac:dyDescent="0.25">
      <c r="A3" s="2" t="s">
        <v>2</v>
      </c>
      <c r="B3" s="6">
        <v>1</v>
      </c>
      <c r="C3" s="6"/>
      <c r="D3" s="6"/>
      <c r="E3" s="6"/>
      <c r="F3" s="6"/>
      <c r="G3" s="6"/>
      <c r="H3" s="6"/>
      <c r="I3" s="6"/>
      <c r="J3" s="6"/>
      <c r="K3" s="2"/>
      <c r="L3" s="2" t="s">
        <v>3</v>
      </c>
      <c r="M3" s="14" t="s">
        <v>112</v>
      </c>
      <c r="N3" s="2"/>
      <c r="O3" s="2" t="s">
        <v>3</v>
      </c>
      <c r="P3" s="2" t="s">
        <v>868</v>
      </c>
    </row>
    <row r="4" spans="1:17" x14ac:dyDescent="0.25">
      <c r="A4" s="2" t="s">
        <v>16</v>
      </c>
      <c r="B4" s="6">
        <v>1</v>
      </c>
      <c r="C4" s="6"/>
      <c r="D4" s="6"/>
      <c r="E4" s="6"/>
      <c r="F4" s="6"/>
      <c r="G4" s="6"/>
      <c r="H4" s="6"/>
      <c r="I4" s="6"/>
      <c r="J4" s="6"/>
      <c r="K4" s="2"/>
      <c r="L4" s="2" t="s">
        <v>3</v>
      </c>
      <c r="M4" s="14" t="s">
        <v>112</v>
      </c>
      <c r="N4" s="2"/>
      <c r="O4" s="2" t="s">
        <v>3</v>
      </c>
      <c r="P4" s="2" t="s">
        <v>868</v>
      </c>
    </row>
    <row r="5" spans="1:17" x14ac:dyDescent="0.25">
      <c r="A5" s="2" t="s">
        <v>114</v>
      </c>
      <c r="B5" s="6">
        <v>1</v>
      </c>
      <c r="C5" s="6"/>
      <c r="D5" s="6"/>
      <c r="E5" s="6"/>
      <c r="F5" s="6"/>
      <c r="G5" s="6"/>
      <c r="H5" s="6"/>
      <c r="I5" s="6"/>
      <c r="J5" s="6"/>
      <c r="K5" s="2"/>
      <c r="L5" s="2" t="s">
        <v>3</v>
      </c>
      <c r="M5" s="14" t="s">
        <v>112</v>
      </c>
      <c r="N5" s="2"/>
      <c r="O5" s="2" t="s">
        <v>3</v>
      </c>
      <c r="P5" s="2" t="s">
        <v>868</v>
      </c>
    </row>
    <row r="6" spans="1:17" x14ac:dyDescent="0.25">
      <c r="A6" s="2" t="s">
        <v>248</v>
      </c>
      <c r="B6" s="6">
        <v>1</v>
      </c>
      <c r="C6" s="6"/>
      <c r="D6" s="6"/>
      <c r="E6" s="6"/>
      <c r="F6" s="6"/>
      <c r="G6" s="6"/>
      <c r="H6" s="6"/>
      <c r="I6" s="6"/>
      <c r="J6" s="6"/>
      <c r="K6" s="2"/>
      <c r="L6" s="2" t="s">
        <v>3</v>
      </c>
      <c r="M6" s="14" t="s">
        <v>112</v>
      </c>
      <c r="N6" s="2"/>
      <c r="O6" s="2" t="s">
        <v>3</v>
      </c>
      <c r="P6" s="2" t="s">
        <v>868</v>
      </c>
    </row>
    <row r="7" spans="1:17" x14ac:dyDescent="0.25">
      <c r="A7" s="2" t="s">
        <v>249</v>
      </c>
      <c r="B7" s="6">
        <v>1</v>
      </c>
      <c r="C7" s="6"/>
      <c r="D7" s="6"/>
      <c r="E7" s="6"/>
      <c r="F7" s="6"/>
      <c r="G7" s="6"/>
      <c r="H7" s="6"/>
      <c r="I7" s="6"/>
      <c r="J7" s="6"/>
      <c r="K7" s="2"/>
      <c r="L7" s="2" t="s">
        <v>3</v>
      </c>
      <c r="M7" s="14" t="s">
        <v>112</v>
      </c>
      <c r="N7" s="2"/>
      <c r="O7" s="2" t="s">
        <v>3</v>
      </c>
      <c r="P7" s="2" t="s">
        <v>868</v>
      </c>
    </row>
    <row r="8" spans="1:17" x14ac:dyDescent="0.25">
      <c r="A8" s="2" t="s">
        <v>256</v>
      </c>
      <c r="B8" s="6">
        <v>1</v>
      </c>
      <c r="C8" s="6"/>
      <c r="D8" s="6"/>
      <c r="E8" s="6"/>
      <c r="F8" s="6"/>
      <c r="G8" s="6"/>
      <c r="H8" s="6"/>
      <c r="I8" s="6"/>
      <c r="J8" s="6"/>
      <c r="K8" s="2"/>
      <c r="L8" s="2" t="s">
        <v>3</v>
      </c>
      <c r="M8" s="14" t="s">
        <v>112</v>
      </c>
      <c r="N8" s="2"/>
      <c r="O8" s="2" t="s">
        <v>3</v>
      </c>
      <c r="P8" s="2" t="s">
        <v>868</v>
      </c>
    </row>
    <row r="9" spans="1:17" x14ac:dyDescent="0.25">
      <c r="A9" s="2" t="s">
        <v>251</v>
      </c>
      <c r="B9" s="6">
        <v>1</v>
      </c>
      <c r="C9" s="6"/>
      <c r="D9" s="6"/>
      <c r="E9" s="6"/>
      <c r="F9" s="6"/>
      <c r="G9" s="6"/>
      <c r="H9" s="6"/>
      <c r="I9" s="6"/>
      <c r="J9" s="6"/>
      <c r="K9" s="2"/>
      <c r="L9" s="2" t="s">
        <v>3</v>
      </c>
      <c r="M9" s="14" t="s">
        <v>112</v>
      </c>
      <c r="N9" s="2"/>
      <c r="O9" s="2" t="s">
        <v>3</v>
      </c>
      <c r="P9" s="2" t="s">
        <v>868</v>
      </c>
    </row>
    <row r="10" spans="1:17" x14ac:dyDescent="0.25">
      <c r="A10" s="2" t="s">
        <v>773</v>
      </c>
      <c r="B10" s="6">
        <v>1</v>
      </c>
      <c r="C10" s="6"/>
      <c r="D10" s="6"/>
      <c r="E10" s="6"/>
      <c r="F10" s="6"/>
      <c r="G10" s="6"/>
      <c r="H10" s="6"/>
      <c r="I10" s="6"/>
      <c r="J10" s="6"/>
      <c r="K10" s="2"/>
      <c r="L10" s="2" t="s">
        <v>3</v>
      </c>
      <c r="M10" s="14" t="s">
        <v>112</v>
      </c>
      <c r="N10" s="2"/>
      <c r="O10" s="2" t="s">
        <v>3</v>
      </c>
      <c r="P10" s="2" t="s">
        <v>868</v>
      </c>
    </row>
    <row r="11" spans="1:17" s="79" customFormat="1" x14ac:dyDescent="0.25">
      <c r="A11" s="73" t="s">
        <v>912</v>
      </c>
      <c r="B11" s="74">
        <v>1</v>
      </c>
      <c r="C11" s="74"/>
      <c r="D11" s="74"/>
      <c r="E11" s="74"/>
      <c r="F11" s="74"/>
      <c r="G11" s="74"/>
      <c r="H11" s="74"/>
      <c r="I11" s="74"/>
      <c r="J11" s="74"/>
      <c r="K11" s="73"/>
      <c r="L11" s="73" t="s">
        <v>3</v>
      </c>
      <c r="M11" s="67" t="s">
        <v>112</v>
      </c>
      <c r="N11" s="73"/>
      <c r="O11" s="73" t="s">
        <v>3</v>
      </c>
      <c r="P11" s="73" t="s">
        <v>868</v>
      </c>
    </row>
    <row r="12" spans="1:17" s="79" customFormat="1" x14ac:dyDescent="0.25">
      <c r="A12" s="73" t="s">
        <v>913</v>
      </c>
      <c r="B12" s="74">
        <v>1</v>
      </c>
      <c r="C12" s="74"/>
      <c r="D12" s="74"/>
      <c r="E12" s="74"/>
      <c r="F12" s="74"/>
      <c r="G12" s="74"/>
      <c r="H12" s="74"/>
      <c r="I12" s="74"/>
      <c r="J12" s="74"/>
      <c r="K12" s="73"/>
      <c r="L12" s="73" t="s">
        <v>3</v>
      </c>
      <c r="M12" s="67" t="s">
        <v>112</v>
      </c>
      <c r="N12" s="73"/>
      <c r="O12" s="73" t="s">
        <v>3</v>
      </c>
      <c r="P12" s="73" t="s">
        <v>868</v>
      </c>
    </row>
    <row r="13" spans="1:17" s="79" customFormat="1" x14ac:dyDescent="0.25">
      <c r="A13" s="73" t="s">
        <v>914</v>
      </c>
      <c r="B13" s="74">
        <v>1</v>
      </c>
      <c r="C13" s="74"/>
      <c r="D13" s="74"/>
      <c r="E13" s="74"/>
      <c r="F13" s="74"/>
      <c r="G13" s="74"/>
      <c r="H13" s="74"/>
      <c r="I13" s="74"/>
      <c r="J13" s="74"/>
      <c r="K13" s="73"/>
      <c r="L13" s="73" t="s">
        <v>3</v>
      </c>
      <c r="M13" s="67" t="s">
        <v>112</v>
      </c>
      <c r="N13" s="73"/>
      <c r="O13" s="73" t="s">
        <v>3</v>
      </c>
      <c r="P13" s="73" t="s">
        <v>868</v>
      </c>
    </row>
    <row r="14" spans="1:17" x14ac:dyDescent="0.25">
      <c r="A14" s="2" t="s">
        <v>872</v>
      </c>
      <c r="B14" s="6">
        <v>1</v>
      </c>
      <c r="C14" s="6"/>
      <c r="D14" s="6"/>
      <c r="E14" s="6"/>
      <c r="F14" s="6"/>
      <c r="G14" s="6"/>
      <c r="H14" s="6"/>
      <c r="I14" s="6"/>
      <c r="J14" s="6"/>
      <c r="K14" s="2"/>
      <c r="L14" s="2" t="s">
        <v>3</v>
      </c>
      <c r="M14" s="14" t="s">
        <v>112</v>
      </c>
      <c r="N14" s="2"/>
      <c r="O14" s="2" t="s">
        <v>3</v>
      </c>
      <c r="P14" s="2" t="s">
        <v>868</v>
      </c>
    </row>
    <row r="15" spans="1:17" x14ac:dyDescent="0.25">
      <c r="A15" s="2" t="s">
        <v>918</v>
      </c>
      <c r="B15" s="6">
        <v>1</v>
      </c>
      <c r="C15" s="6"/>
      <c r="D15" s="6"/>
      <c r="E15" s="6"/>
      <c r="F15" s="6"/>
      <c r="G15" s="6"/>
      <c r="H15" s="6"/>
      <c r="I15" s="6"/>
      <c r="J15" s="6"/>
      <c r="K15" s="2"/>
      <c r="L15" s="2" t="s">
        <v>3</v>
      </c>
      <c r="M15" s="14" t="s">
        <v>112</v>
      </c>
      <c r="N15" s="2"/>
      <c r="O15" s="2" t="s">
        <v>3</v>
      </c>
      <c r="P15" s="2" t="s">
        <v>868</v>
      </c>
    </row>
    <row r="16" spans="1:17" x14ac:dyDescent="0.25">
      <c r="A16" s="2" t="s">
        <v>919</v>
      </c>
      <c r="B16" s="6">
        <v>1</v>
      </c>
      <c r="C16" s="6"/>
      <c r="D16" s="6"/>
      <c r="E16" s="6"/>
      <c r="F16" s="6"/>
      <c r="G16" s="6"/>
      <c r="H16" s="6"/>
      <c r="I16" s="6"/>
      <c r="J16" s="6"/>
      <c r="K16" s="2"/>
      <c r="L16" s="2" t="s">
        <v>3</v>
      </c>
      <c r="M16" s="14" t="s">
        <v>112</v>
      </c>
      <c r="N16" s="2"/>
      <c r="O16" s="2" t="s">
        <v>3</v>
      </c>
      <c r="P16" s="2" t="s">
        <v>868</v>
      </c>
    </row>
    <row r="17" spans="1:16" x14ac:dyDescent="0.25">
      <c r="A17" s="2" t="s">
        <v>920</v>
      </c>
      <c r="B17" s="6">
        <v>1</v>
      </c>
      <c r="C17" s="6"/>
      <c r="D17" s="6"/>
      <c r="E17" s="6"/>
      <c r="F17" s="6"/>
      <c r="G17" s="6"/>
      <c r="H17" s="6"/>
      <c r="I17" s="6"/>
      <c r="J17" s="6"/>
      <c r="K17" s="2"/>
      <c r="L17" s="2" t="s">
        <v>3</v>
      </c>
      <c r="M17" s="14" t="s">
        <v>112</v>
      </c>
      <c r="N17" s="2"/>
      <c r="O17" s="2" t="s">
        <v>3</v>
      </c>
      <c r="P17" s="2" t="s">
        <v>868</v>
      </c>
    </row>
    <row r="18" spans="1:16" x14ac:dyDescent="0.25">
      <c r="A18" s="2" t="s">
        <v>921</v>
      </c>
      <c r="B18" s="6">
        <v>1</v>
      </c>
      <c r="C18" s="6"/>
      <c r="D18" s="6"/>
      <c r="E18" s="6"/>
      <c r="F18" s="6"/>
      <c r="G18" s="6"/>
      <c r="H18" s="6"/>
      <c r="I18" s="6"/>
      <c r="J18" s="6"/>
      <c r="K18" s="2"/>
      <c r="L18" s="2" t="s">
        <v>3</v>
      </c>
      <c r="M18" s="14" t="s">
        <v>112</v>
      </c>
      <c r="N18" s="2"/>
      <c r="O18" s="2" t="s">
        <v>3</v>
      </c>
      <c r="P18" s="2" t="s">
        <v>868</v>
      </c>
    </row>
    <row r="19" spans="1:16" x14ac:dyDescent="0.25">
      <c r="A19" s="2" t="s">
        <v>922</v>
      </c>
      <c r="B19" s="6">
        <v>1</v>
      </c>
      <c r="C19" s="6"/>
      <c r="D19" s="6"/>
      <c r="E19" s="6"/>
      <c r="F19" s="6"/>
      <c r="G19" s="6"/>
      <c r="H19" s="6"/>
      <c r="I19" s="6"/>
      <c r="J19" s="6"/>
      <c r="K19" s="2"/>
      <c r="L19" s="2" t="s">
        <v>3</v>
      </c>
      <c r="M19" s="14" t="s">
        <v>112</v>
      </c>
      <c r="N19" s="2"/>
      <c r="O19" s="2" t="s">
        <v>3</v>
      </c>
      <c r="P19" s="2" t="s">
        <v>868</v>
      </c>
    </row>
    <row r="20" spans="1:16" x14ac:dyDescent="0.25">
      <c r="A20" s="2" t="s">
        <v>1121</v>
      </c>
      <c r="B20" s="6">
        <v>1</v>
      </c>
      <c r="C20" s="6"/>
      <c r="D20" s="6"/>
      <c r="E20" s="6"/>
      <c r="F20" s="6"/>
      <c r="G20" s="6"/>
      <c r="H20" s="6"/>
      <c r="I20" s="6"/>
      <c r="J20" s="6"/>
      <c r="K20" s="2"/>
      <c r="L20" s="2" t="s">
        <v>3</v>
      </c>
      <c r="M20" s="14" t="s">
        <v>112</v>
      </c>
      <c r="N20" s="2"/>
      <c r="O20" s="2" t="s">
        <v>3</v>
      </c>
      <c r="P20" s="2" t="s">
        <v>868</v>
      </c>
    </row>
    <row r="21" spans="1:16" x14ac:dyDescent="0.25">
      <c r="A21" s="2" t="s">
        <v>1164</v>
      </c>
      <c r="B21" s="6">
        <v>1</v>
      </c>
      <c r="C21" s="74" t="s">
        <v>3</v>
      </c>
      <c r="D21" s="73"/>
      <c r="E21" s="73" t="s">
        <v>3</v>
      </c>
      <c r="F21" s="73" t="s">
        <v>112</v>
      </c>
      <c r="G21" s="67" t="s">
        <v>863</v>
      </c>
      <c r="H21" s="67" t="s">
        <v>3</v>
      </c>
      <c r="I21" s="73"/>
      <c r="J21" s="67"/>
      <c r="K21" s="73"/>
      <c r="L21" s="73"/>
      <c r="M21" s="7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0"/>
  <sheetViews>
    <sheetView zoomScale="85" zoomScaleNormal="85" workbookViewId="0">
      <selection activeCell="A21" sqref="A21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1.85546875" style="1" bestFit="1" customWidth="1" collapsed="1"/>
    <col min="4" max="4" width="11.7109375" style="1" bestFit="1" customWidth="1" collapsed="1"/>
    <col min="5" max="5" width="14.140625" style="1" bestFit="1" customWidth="1" collapsed="1"/>
    <col min="6" max="6" width="13.85546875" style="1" bestFit="1" customWidth="1" collapsed="1"/>
    <col min="7" max="7" width="14.42578125" style="1" bestFit="1" customWidth="1" collapsed="1"/>
    <col min="8" max="8" width="10" style="1" bestFit="1" customWidth="1" collapsed="1"/>
    <col min="9" max="9" width="17" style="1" bestFit="1" customWidth="1" collapsed="1"/>
    <col min="10" max="10" width="13.5703125" style="1" bestFit="1" customWidth="1" collapsed="1"/>
    <col min="11" max="11" width="14.42578125" style="1" bestFit="1" customWidth="1" collapsed="1"/>
    <col min="12" max="16384" width="9.140625" style="1" collapsed="1"/>
  </cols>
  <sheetData>
    <row r="1" spans="1:10" x14ac:dyDescent="0.25">
      <c r="A1" s="4" t="s">
        <v>0</v>
      </c>
      <c r="B1" s="5" t="s">
        <v>18</v>
      </c>
      <c r="C1" s="5" t="s">
        <v>113</v>
      </c>
      <c r="D1" s="5" t="s">
        <v>59</v>
      </c>
      <c r="E1" s="5" t="s">
        <v>58</v>
      </c>
      <c r="F1" s="5" t="s">
        <v>57</v>
      </c>
      <c r="G1" s="5" t="s">
        <v>56</v>
      </c>
      <c r="H1" s="5" t="s">
        <v>55</v>
      </c>
      <c r="I1" s="5" t="s">
        <v>77</v>
      </c>
      <c r="J1" s="19" t="s">
        <v>805</v>
      </c>
    </row>
    <row r="2" spans="1:10" x14ac:dyDescent="0.25">
      <c r="A2" s="2" t="s">
        <v>1</v>
      </c>
      <c r="B2" s="6">
        <v>1</v>
      </c>
      <c r="C2" s="6"/>
      <c r="D2" s="2"/>
      <c r="E2" s="2"/>
      <c r="F2" s="2"/>
      <c r="G2" s="2"/>
      <c r="H2" s="2"/>
      <c r="I2" s="2"/>
      <c r="J2" s="2"/>
    </row>
    <row r="3" spans="1:10" x14ac:dyDescent="0.25">
      <c r="A3" s="2" t="s">
        <v>2</v>
      </c>
      <c r="B3" s="6">
        <v>1</v>
      </c>
      <c r="C3" s="6" t="s">
        <v>3</v>
      </c>
      <c r="D3" s="2" t="s">
        <v>3</v>
      </c>
      <c r="E3" s="2"/>
      <c r="F3" s="2"/>
      <c r="G3" s="2"/>
      <c r="H3" s="2"/>
      <c r="I3" s="2" t="s">
        <v>3</v>
      </c>
      <c r="J3" s="2" t="s">
        <v>14</v>
      </c>
    </row>
    <row r="4" spans="1:10" x14ac:dyDescent="0.25">
      <c r="A4" s="2" t="s">
        <v>16</v>
      </c>
      <c r="B4" s="6">
        <v>1</v>
      </c>
      <c r="C4" s="6" t="s">
        <v>3</v>
      </c>
      <c r="D4" s="2" t="s">
        <v>3</v>
      </c>
      <c r="E4" s="2"/>
      <c r="F4" s="2"/>
      <c r="G4" s="2"/>
      <c r="H4" s="2"/>
      <c r="I4" s="2" t="s">
        <v>3</v>
      </c>
      <c r="J4" s="2" t="s">
        <v>14</v>
      </c>
    </row>
    <row r="5" spans="1:10" x14ac:dyDescent="0.25">
      <c r="A5" s="2" t="s">
        <v>114</v>
      </c>
      <c r="B5" s="6">
        <v>1</v>
      </c>
      <c r="C5" s="6" t="s">
        <v>3</v>
      </c>
      <c r="D5" s="2" t="s">
        <v>3</v>
      </c>
      <c r="E5" s="2"/>
      <c r="F5" s="2"/>
      <c r="G5" s="2"/>
      <c r="H5" s="2"/>
      <c r="I5" s="2" t="s">
        <v>3</v>
      </c>
      <c r="J5" s="2" t="s">
        <v>14</v>
      </c>
    </row>
    <row r="6" spans="1:10" x14ac:dyDescent="0.25">
      <c r="A6" s="2" t="s">
        <v>248</v>
      </c>
      <c r="B6" s="6">
        <v>1</v>
      </c>
      <c r="C6" s="6" t="s">
        <v>3</v>
      </c>
      <c r="D6" s="2" t="s">
        <v>3</v>
      </c>
      <c r="E6" s="2"/>
      <c r="F6" s="2"/>
      <c r="G6" s="2"/>
      <c r="H6" s="2"/>
      <c r="I6" s="2" t="s">
        <v>3</v>
      </c>
      <c r="J6" s="2" t="s">
        <v>14</v>
      </c>
    </row>
    <row r="7" spans="1:10" x14ac:dyDescent="0.25">
      <c r="A7" s="2" t="s">
        <v>249</v>
      </c>
      <c r="B7" s="6">
        <v>1</v>
      </c>
      <c r="C7" s="6" t="s">
        <v>3</v>
      </c>
      <c r="D7" s="2" t="s">
        <v>3</v>
      </c>
      <c r="E7" s="2"/>
      <c r="F7" s="2"/>
      <c r="G7" s="2"/>
      <c r="H7" s="2"/>
      <c r="I7" s="2" t="s">
        <v>3</v>
      </c>
      <c r="J7" s="2" t="s">
        <v>14</v>
      </c>
    </row>
    <row r="8" spans="1:10" x14ac:dyDescent="0.25">
      <c r="A8" s="2" t="s">
        <v>256</v>
      </c>
      <c r="B8" s="6">
        <v>1</v>
      </c>
      <c r="C8" s="6" t="s">
        <v>3</v>
      </c>
      <c r="D8" s="2" t="s">
        <v>3</v>
      </c>
      <c r="E8" s="2"/>
      <c r="F8" s="2"/>
      <c r="G8" s="2"/>
      <c r="H8" s="2"/>
      <c r="I8" s="2" t="s">
        <v>3</v>
      </c>
      <c r="J8" s="2" t="s">
        <v>14</v>
      </c>
    </row>
    <row r="9" spans="1:10" x14ac:dyDescent="0.25">
      <c r="A9" s="2" t="s">
        <v>251</v>
      </c>
      <c r="B9" s="6">
        <v>1</v>
      </c>
      <c r="C9" s="6" t="s">
        <v>3</v>
      </c>
      <c r="D9" s="2" t="s">
        <v>3</v>
      </c>
      <c r="E9" s="2"/>
      <c r="F9" s="2"/>
      <c r="G9" s="2"/>
      <c r="H9" s="2"/>
      <c r="I9" s="2" t="s">
        <v>3</v>
      </c>
      <c r="J9" s="2" t="s">
        <v>14</v>
      </c>
    </row>
    <row r="10" spans="1:10" x14ac:dyDescent="0.25">
      <c r="A10" s="2" t="s">
        <v>773</v>
      </c>
      <c r="B10" s="6">
        <v>1</v>
      </c>
      <c r="C10" s="6" t="s">
        <v>3</v>
      </c>
      <c r="D10" s="2" t="s">
        <v>3</v>
      </c>
      <c r="E10" s="2"/>
      <c r="F10" s="2"/>
      <c r="G10" s="2"/>
      <c r="H10" s="2"/>
      <c r="I10" s="2" t="s">
        <v>3</v>
      </c>
      <c r="J10" s="2" t="s">
        <v>14</v>
      </c>
    </row>
    <row r="11" spans="1:10" s="79" customFormat="1" x14ac:dyDescent="0.25">
      <c r="A11" s="73" t="s">
        <v>912</v>
      </c>
      <c r="B11" s="74">
        <v>1</v>
      </c>
      <c r="C11" s="74" t="s">
        <v>3</v>
      </c>
      <c r="D11" s="73" t="s">
        <v>3</v>
      </c>
      <c r="E11" s="73"/>
      <c r="F11" s="73"/>
      <c r="G11" s="73"/>
      <c r="H11" s="73"/>
      <c r="I11" s="73" t="s">
        <v>3</v>
      </c>
      <c r="J11" s="73" t="s">
        <v>14</v>
      </c>
    </row>
    <row r="12" spans="1:10" s="79" customFormat="1" x14ac:dyDescent="0.25">
      <c r="A12" s="73" t="s">
        <v>913</v>
      </c>
      <c r="B12" s="74">
        <v>1</v>
      </c>
      <c r="C12" s="74" t="s">
        <v>3</v>
      </c>
      <c r="D12" s="73" t="s">
        <v>3</v>
      </c>
      <c r="E12" s="73"/>
      <c r="F12" s="73"/>
      <c r="G12" s="73"/>
      <c r="H12" s="73"/>
      <c r="I12" s="73" t="s">
        <v>3</v>
      </c>
      <c r="J12" s="73" t="s">
        <v>14</v>
      </c>
    </row>
    <row r="13" spans="1:10" s="79" customFormat="1" x14ac:dyDescent="0.25">
      <c r="A13" s="73" t="s">
        <v>914</v>
      </c>
      <c r="B13" s="74">
        <v>1</v>
      </c>
      <c r="C13" s="74" t="s">
        <v>3</v>
      </c>
      <c r="D13" s="73" t="s">
        <v>3</v>
      </c>
      <c r="E13" s="73"/>
      <c r="F13" s="73"/>
      <c r="G13" s="73"/>
      <c r="H13" s="73"/>
      <c r="I13" s="73" t="s">
        <v>3</v>
      </c>
      <c r="J13" s="73" t="s">
        <v>14</v>
      </c>
    </row>
    <row r="14" spans="1:10" x14ac:dyDescent="0.25">
      <c r="A14" s="2" t="s">
        <v>872</v>
      </c>
      <c r="B14" s="6">
        <v>1</v>
      </c>
      <c r="C14" s="6" t="s">
        <v>3</v>
      </c>
      <c r="D14" s="2" t="s">
        <v>3</v>
      </c>
      <c r="E14" s="2"/>
      <c r="F14" s="2"/>
      <c r="G14" s="2"/>
      <c r="H14" s="2"/>
      <c r="I14" s="2" t="s">
        <v>3</v>
      </c>
      <c r="J14" s="2" t="s">
        <v>14</v>
      </c>
    </row>
    <row r="15" spans="1:10" x14ac:dyDescent="0.25">
      <c r="A15" s="2" t="s">
        <v>918</v>
      </c>
      <c r="B15" s="6">
        <v>1</v>
      </c>
      <c r="C15" s="6" t="s">
        <v>3</v>
      </c>
      <c r="D15" s="2" t="s">
        <v>3</v>
      </c>
      <c r="E15" s="2"/>
      <c r="F15" s="2"/>
      <c r="G15" s="2"/>
      <c r="H15" s="2"/>
      <c r="I15" s="2" t="s">
        <v>3</v>
      </c>
      <c r="J15" s="2" t="s">
        <v>14</v>
      </c>
    </row>
    <row r="16" spans="1:10" x14ac:dyDescent="0.25">
      <c r="A16" s="2" t="s">
        <v>919</v>
      </c>
      <c r="B16" s="6">
        <v>1</v>
      </c>
      <c r="C16" s="6" t="s">
        <v>3</v>
      </c>
      <c r="D16" s="2" t="s">
        <v>3</v>
      </c>
      <c r="E16" s="2"/>
      <c r="F16" s="2"/>
      <c r="G16" s="2"/>
      <c r="H16" s="2"/>
      <c r="I16" s="2" t="s">
        <v>3</v>
      </c>
      <c r="J16" s="2" t="s">
        <v>14</v>
      </c>
    </row>
    <row r="17" spans="1:10" x14ac:dyDescent="0.25">
      <c r="A17" s="2" t="s">
        <v>920</v>
      </c>
      <c r="B17" s="6">
        <v>1</v>
      </c>
      <c r="C17" s="6" t="s">
        <v>3</v>
      </c>
      <c r="D17" s="2" t="s">
        <v>3</v>
      </c>
      <c r="E17" s="2"/>
      <c r="F17" s="2"/>
      <c r="G17" s="2"/>
      <c r="H17" s="2"/>
      <c r="I17" s="2" t="s">
        <v>3</v>
      </c>
      <c r="J17" s="2" t="s">
        <v>14</v>
      </c>
    </row>
    <row r="18" spans="1:10" x14ac:dyDescent="0.25">
      <c r="A18" s="2" t="s">
        <v>921</v>
      </c>
      <c r="B18" s="6">
        <v>1</v>
      </c>
      <c r="C18" s="6" t="s">
        <v>3</v>
      </c>
      <c r="D18" s="2" t="s">
        <v>3</v>
      </c>
      <c r="E18" s="2"/>
      <c r="F18" s="2"/>
      <c r="G18" s="2"/>
      <c r="H18" s="2"/>
      <c r="I18" s="2" t="s">
        <v>3</v>
      </c>
      <c r="J18" s="2" t="s">
        <v>14</v>
      </c>
    </row>
    <row r="19" spans="1:10" x14ac:dyDescent="0.25">
      <c r="A19" s="2" t="s">
        <v>922</v>
      </c>
      <c r="B19" s="6">
        <v>1</v>
      </c>
      <c r="C19" s="6" t="s">
        <v>3</v>
      </c>
      <c r="D19" s="2" t="s">
        <v>3</v>
      </c>
      <c r="E19" s="2"/>
      <c r="F19" s="2"/>
      <c r="G19" s="2"/>
      <c r="H19" s="2"/>
      <c r="I19" s="2" t="s">
        <v>3</v>
      </c>
      <c r="J19" s="2" t="s">
        <v>14</v>
      </c>
    </row>
    <row r="20" spans="1:10" x14ac:dyDescent="0.25">
      <c r="A20" s="2" t="s">
        <v>1121</v>
      </c>
      <c r="B20" s="6">
        <v>1</v>
      </c>
      <c r="C20" s="6" t="s">
        <v>3</v>
      </c>
      <c r="D20" s="2" t="s">
        <v>3</v>
      </c>
      <c r="E20" s="2"/>
      <c r="F20" s="2"/>
      <c r="G20" s="2"/>
      <c r="H20" s="2"/>
      <c r="I20" s="2" t="s">
        <v>3</v>
      </c>
      <c r="J20" s="2" t="s">
        <v>14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H29"/>
  <sheetViews>
    <sheetView zoomScale="85" zoomScaleNormal="85" workbookViewId="0">
      <selection activeCell="A25" sqref="A25"/>
    </sheetView>
  </sheetViews>
  <sheetFormatPr defaultRowHeight="15" x14ac:dyDescent="0.25"/>
  <cols>
    <col min="1" max="1" width="7.140625" style="72" bestFit="1" customWidth="1" collapsed="1"/>
    <col min="2" max="2" width="8.7109375" style="72" bestFit="1" customWidth="1" collapsed="1"/>
    <col min="3" max="3" width="16.140625" style="72" bestFit="1" customWidth="1" collapsed="1"/>
    <col min="4" max="4" width="16" style="72" bestFit="1" customWidth="1" collapsed="1"/>
    <col min="5" max="11" width="16" style="72" customWidth="1" collapsed="1"/>
    <col min="12" max="12" width="20.140625" style="72" bestFit="1" customWidth="1" collapsed="1"/>
    <col min="13" max="37" width="20.140625" style="72" customWidth="1" collapsed="1"/>
    <col min="38" max="38" width="20" style="72" bestFit="1" customWidth="1" collapsed="1"/>
    <col min="39" max="52" width="16" style="72" customWidth="1" collapsed="1"/>
    <col min="53" max="53" width="18.7109375" style="72" bestFit="1" customWidth="1" collapsed="1"/>
    <col min="54" max="55" width="18.7109375" style="72" customWidth="1" collapsed="1"/>
    <col min="56" max="56" width="21.140625" style="72" bestFit="1" customWidth="1" collapsed="1"/>
    <col min="57" max="57" width="21.5703125" style="72" bestFit="1" customWidth="1" collapsed="1"/>
    <col min="58" max="58" width="21.5703125" style="72" customWidth="1" collapsed="1"/>
    <col min="59" max="67" width="18.7109375" style="72" customWidth="1" collapsed="1"/>
    <col min="68" max="68" width="27.7109375" style="72" bestFit="1" customWidth="1" collapsed="1"/>
    <col min="69" max="70" width="27.7109375" style="72" customWidth="1" collapsed="1"/>
    <col min="71" max="71" width="18.7109375" style="72" customWidth="1" collapsed="1"/>
    <col min="72" max="72" width="17.42578125" style="72" bestFit="1" customWidth="1" collapsed="1"/>
    <col min="73" max="73" width="14.42578125" style="72" bestFit="1" customWidth="1" collapsed="1"/>
    <col min="74" max="75" width="14.42578125" style="72" customWidth="1" collapsed="1"/>
    <col min="76" max="76" width="20.140625" style="72" bestFit="1" customWidth="1" collapsed="1"/>
    <col min="77" max="77" width="16.7109375" style="72" bestFit="1" customWidth="1" collapsed="1"/>
    <col min="78" max="78" width="21.85546875" style="72" bestFit="1" customWidth="1" collapsed="1"/>
    <col min="79" max="79" width="13.7109375" style="72" bestFit="1" customWidth="1" collapsed="1"/>
    <col min="80" max="80" width="33.5703125" style="72" bestFit="1" customWidth="1" collapsed="1"/>
    <col min="81" max="81" width="18.7109375" style="72" bestFit="1" customWidth="1" collapsed="1"/>
    <col min="82" max="82" width="13.5703125" style="72" bestFit="1" customWidth="1" collapsed="1"/>
    <col min="83" max="83" width="24" style="72" bestFit="1" customWidth="1" collapsed="1"/>
    <col min="84" max="16384" width="9.140625" style="72" collapsed="1"/>
  </cols>
  <sheetData>
    <row r="1" spans="1:83" x14ac:dyDescent="0.25">
      <c r="A1" s="68" t="s">
        <v>0</v>
      </c>
      <c r="B1" s="69" t="s">
        <v>18</v>
      </c>
      <c r="C1" s="69" t="s">
        <v>62</v>
      </c>
      <c r="D1" s="69" t="s">
        <v>61</v>
      </c>
      <c r="E1" s="69" t="s">
        <v>1413</v>
      </c>
      <c r="F1" s="69" t="s">
        <v>1414</v>
      </c>
      <c r="G1" s="69" t="s">
        <v>1245</v>
      </c>
      <c r="H1" s="69" t="s">
        <v>1246</v>
      </c>
      <c r="I1" s="69" t="s">
        <v>1415</v>
      </c>
      <c r="J1" s="69" t="s">
        <v>102</v>
      </c>
      <c r="K1" s="69" t="s">
        <v>104</v>
      </c>
      <c r="L1" s="69" t="s">
        <v>106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70" t="s">
        <v>940</v>
      </c>
      <c r="AJ1" s="70" t="s">
        <v>941</v>
      </c>
      <c r="AK1" s="70" t="s">
        <v>942</v>
      </c>
      <c r="AL1" s="69" t="s">
        <v>875</v>
      </c>
      <c r="AM1" s="69" t="s">
        <v>876</v>
      </c>
      <c r="AN1" s="69" t="s">
        <v>892</v>
      </c>
      <c r="AO1" s="69" t="s">
        <v>893</v>
      </c>
      <c r="AP1" s="69" t="s">
        <v>877</v>
      </c>
      <c r="AQ1" s="69" t="s">
        <v>879</v>
      </c>
      <c r="AR1" s="69" t="s">
        <v>880</v>
      </c>
      <c r="AS1" s="69" t="s">
        <v>882</v>
      </c>
      <c r="AT1" s="69" t="s">
        <v>883</v>
      </c>
      <c r="AU1" s="69" t="s">
        <v>884</v>
      </c>
      <c r="AV1" s="69" t="s">
        <v>885</v>
      </c>
      <c r="AW1" s="69" t="s">
        <v>887</v>
      </c>
      <c r="AX1" s="69" t="s">
        <v>886</v>
      </c>
      <c r="AY1" s="69" t="s">
        <v>888</v>
      </c>
      <c r="AZ1" s="69" t="s">
        <v>889</v>
      </c>
      <c r="BA1" s="69" t="s">
        <v>890</v>
      </c>
      <c r="BB1" s="69" t="s">
        <v>898</v>
      </c>
      <c r="BC1" s="69" t="s">
        <v>896</v>
      </c>
      <c r="BD1" s="69" t="s">
        <v>989</v>
      </c>
      <c r="BE1" s="69" t="s">
        <v>990</v>
      </c>
      <c r="BF1" s="69" t="s">
        <v>1004</v>
      </c>
      <c r="BG1" s="69" t="s">
        <v>991</v>
      </c>
      <c r="BH1" s="69" t="s">
        <v>1005</v>
      </c>
      <c r="BI1" s="69" t="s">
        <v>992</v>
      </c>
      <c r="BJ1" s="69" t="s">
        <v>1006</v>
      </c>
      <c r="BK1" s="69" t="s">
        <v>993</v>
      </c>
      <c r="BL1" s="69" t="s">
        <v>994</v>
      </c>
      <c r="BM1" s="69" t="s">
        <v>1007</v>
      </c>
      <c r="BN1" s="69" t="s">
        <v>995</v>
      </c>
      <c r="BO1" s="69" t="s">
        <v>1416</v>
      </c>
      <c r="BP1" s="69" t="s">
        <v>1418</v>
      </c>
      <c r="BQ1" s="5" t="s">
        <v>805</v>
      </c>
      <c r="BR1" s="69" t="s">
        <v>1218</v>
      </c>
      <c r="BS1" s="69" t="s">
        <v>1417</v>
      </c>
      <c r="BT1" s="69" t="s">
        <v>359</v>
      </c>
      <c r="BU1" s="69" t="s">
        <v>56</v>
      </c>
      <c r="BV1" s="5" t="s">
        <v>805</v>
      </c>
      <c r="BW1" s="69" t="s">
        <v>492</v>
      </c>
      <c r="BX1" s="69" t="s">
        <v>1421</v>
      </c>
      <c r="BY1" s="69" t="s">
        <v>71</v>
      </c>
      <c r="BZ1" s="69" t="s">
        <v>79</v>
      </c>
      <c r="CA1" s="69" t="s">
        <v>78</v>
      </c>
      <c r="CB1" s="69" t="s">
        <v>899</v>
      </c>
      <c r="CC1" s="69" t="s">
        <v>80</v>
      </c>
      <c r="CD1" s="71" t="s">
        <v>805</v>
      </c>
      <c r="CE1" s="69" t="s">
        <v>943</v>
      </c>
    </row>
    <row r="2" spans="1:83" x14ac:dyDescent="0.25">
      <c r="A2" s="73" t="s">
        <v>1</v>
      </c>
      <c r="B2" s="74">
        <v>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</row>
    <row r="3" spans="1:83" x14ac:dyDescent="0.25">
      <c r="A3" s="73" t="s">
        <v>2</v>
      </c>
      <c r="B3" s="74">
        <v>1</v>
      </c>
      <c r="C3" s="73" t="s">
        <v>3</v>
      </c>
      <c r="D3" s="73" t="s">
        <v>60</v>
      </c>
      <c r="E3" s="75"/>
      <c r="F3" s="75"/>
      <c r="G3" s="75"/>
      <c r="H3" s="75"/>
      <c r="I3" s="75"/>
      <c r="J3" s="75" t="s">
        <v>103</v>
      </c>
      <c r="K3" s="75">
        <v>1234567</v>
      </c>
      <c r="L3" s="72" t="s">
        <v>107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 s="76" t="s">
        <v>358</v>
      </c>
      <c r="BU3" s="73" t="s">
        <v>3</v>
      </c>
      <c r="BV3" s="73"/>
      <c r="BW3" s="73" t="s">
        <v>3</v>
      </c>
      <c r="BX3" s="73"/>
      <c r="BY3" s="73" t="s">
        <v>3</v>
      </c>
      <c r="BZ3"/>
      <c r="CA3" s="72" t="s">
        <v>871</v>
      </c>
      <c r="CB3"/>
      <c r="CC3"/>
      <c r="CD3"/>
      <c r="CE3"/>
    </row>
    <row r="4" spans="1:83" x14ac:dyDescent="0.25">
      <c r="A4" s="73" t="s">
        <v>16</v>
      </c>
      <c r="B4" s="74">
        <v>1</v>
      </c>
      <c r="C4" s="73" t="s">
        <v>3</v>
      </c>
      <c r="D4" s="73" t="s">
        <v>60</v>
      </c>
      <c r="E4" s="75"/>
      <c r="F4" s="75"/>
      <c r="G4" s="75"/>
      <c r="H4" s="75"/>
      <c r="I4" s="75"/>
      <c r="J4" s="75" t="s">
        <v>103</v>
      </c>
      <c r="K4" s="75">
        <v>1234567</v>
      </c>
      <c r="L4" s="72" t="s">
        <v>107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 s="76" t="s">
        <v>358</v>
      </c>
      <c r="BU4" s="73" t="s">
        <v>3</v>
      </c>
      <c r="BV4" s="73"/>
      <c r="BW4" s="73" t="s">
        <v>3</v>
      </c>
      <c r="BX4" s="73"/>
      <c r="BY4" s="73" t="s">
        <v>3</v>
      </c>
      <c r="BZ4"/>
      <c r="CA4" t="s">
        <v>1272</v>
      </c>
      <c r="CB4"/>
      <c r="CC4"/>
      <c r="CD4"/>
      <c r="CE4"/>
    </row>
    <row r="5" spans="1:83" x14ac:dyDescent="0.25">
      <c r="A5" s="73" t="s">
        <v>114</v>
      </c>
      <c r="B5" s="74">
        <v>1</v>
      </c>
      <c r="C5" s="73" t="s">
        <v>3</v>
      </c>
      <c r="D5" s="73" t="s">
        <v>60</v>
      </c>
      <c r="E5" s="75"/>
      <c r="F5" s="75"/>
      <c r="G5" s="75"/>
      <c r="H5" s="75"/>
      <c r="I5" s="75"/>
      <c r="J5" s="75" t="s">
        <v>103</v>
      </c>
      <c r="K5" s="75">
        <v>1234567</v>
      </c>
      <c r="L5" s="72" t="s">
        <v>107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 s="76" t="s">
        <v>358</v>
      </c>
      <c r="BU5" s="73" t="s">
        <v>3</v>
      </c>
      <c r="BV5" s="73"/>
      <c r="BW5" s="73" t="s">
        <v>3</v>
      </c>
      <c r="BX5" s="73"/>
      <c r="BY5" s="73" t="s">
        <v>3</v>
      </c>
      <c r="BZ5"/>
      <c r="CA5" t="s">
        <v>1271</v>
      </c>
      <c r="CB5"/>
      <c r="CC5"/>
      <c r="CD5"/>
      <c r="CE5"/>
    </row>
    <row r="6" spans="1:83" x14ac:dyDescent="0.25">
      <c r="A6" s="73" t="s">
        <v>248</v>
      </c>
      <c r="B6" s="74">
        <v>1</v>
      </c>
      <c r="C6" s="73" t="s">
        <v>3</v>
      </c>
      <c r="D6" s="73" t="s">
        <v>60</v>
      </c>
      <c r="E6" s="75"/>
      <c r="F6" s="75"/>
      <c r="G6" s="75"/>
      <c r="H6" s="75"/>
      <c r="I6" s="75"/>
      <c r="J6" s="75" t="s">
        <v>103</v>
      </c>
      <c r="K6" s="75">
        <v>1234567</v>
      </c>
      <c r="L6" s="72" t="s">
        <v>107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 s="76" t="s">
        <v>358</v>
      </c>
      <c r="BU6" s="73" t="s">
        <v>3</v>
      </c>
      <c r="BV6" s="73"/>
      <c r="BW6" s="73" t="s">
        <v>3</v>
      </c>
      <c r="BX6" s="73"/>
      <c r="BY6" s="73" t="s">
        <v>3</v>
      </c>
      <c r="BZ6"/>
      <c r="CA6" s="73" t="s">
        <v>499</v>
      </c>
      <c r="CB6"/>
      <c r="CC6"/>
      <c r="CD6"/>
      <c r="CE6"/>
    </row>
    <row r="7" spans="1:83" x14ac:dyDescent="0.25">
      <c r="A7" s="73" t="s">
        <v>249</v>
      </c>
      <c r="B7" s="74">
        <v>1</v>
      </c>
      <c r="C7" s="73" t="s">
        <v>3</v>
      </c>
      <c r="D7" s="73" t="s">
        <v>60</v>
      </c>
      <c r="E7" s="75"/>
      <c r="F7" s="75"/>
      <c r="G7" s="75"/>
      <c r="H7" s="75"/>
      <c r="I7" s="75"/>
      <c r="J7" s="75" t="s">
        <v>103</v>
      </c>
      <c r="K7" s="75">
        <v>1234567</v>
      </c>
      <c r="L7" s="72" t="s">
        <v>107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 s="76" t="s">
        <v>358</v>
      </c>
      <c r="BU7" s="73" t="s">
        <v>3</v>
      </c>
      <c r="BV7" s="73"/>
      <c r="BW7" s="73" t="s">
        <v>3</v>
      </c>
      <c r="BX7" s="73"/>
      <c r="BY7" s="73" t="s">
        <v>3</v>
      </c>
      <c r="BZ7"/>
      <c r="CA7" s="73" t="s">
        <v>1111</v>
      </c>
      <c r="CB7"/>
      <c r="CC7"/>
      <c r="CD7"/>
      <c r="CE7"/>
    </row>
    <row r="8" spans="1:83" x14ac:dyDescent="0.25">
      <c r="A8" s="73" t="s">
        <v>256</v>
      </c>
      <c r="B8" s="74">
        <v>1</v>
      </c>
      <c r="C8" s="73" t="s">
        <v>3</v>
      </c>
      <c r="D8" s="73" t="s">
        <v>60</v>
      </c>
      <c r="E8" s="75"/>
      <c r="F8" s="75"/>
      <c r="G8" s="75"/>
      <c r="H8" s="75"/>
      <c r="I8" s="75"/>
      <c r="J8" s="75" t="s">
        <v>103</v>
      </c>
      <c r="K8" s="75">
        <v>1234567</v>
      </c>
      <c r="L8" s="72" t="s">
        <v>107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 s="76" t="s">
        <v>358</v>
      </c>
      <c r="BU8" s="73" t="s">
        <v>3</v>
      </c>
      <c r="BV8" s="73"/>
      <c r="BW8" s="73" t="s">
        <v>3</v>
      </c>
      <c r="BX8" s="73"/>
      <c r="BY8" s="73" t="s">
        <v>3</v>
      </c>
      <c r="BZ8"/>
      <c r="CA8" s="73" t="s">
        <v>1112</v>
      </c>
      <c r="CB8"/>
      <c r="CC8"/>
      <c r="CD8"/>
      <c r="CE8"/>
    </row>
    <row r="9" spans="1:83" x14ac:dyDescent="0.25">
      <c r="A9" s="73" t="s">
        <v>251</v>
      </c>
      <c r="B9" s="74">
        <v>1</v>
      </c>
      <c r="C9" s="73" t="s">
        <v>3</v>
      </c>
      <c r="D9" s="73" t="s">
        <v>60</v>
      </c>
      <c r="E9" s="75"/>
      <c r="F9" s="75"/>
      <c r="G9" s="75"/>
      <c r="H9" s="75"/>
      <c r="I9" s="75"/>
      <c r="J9" s="75" t="s">
        <v>103</v>
      </c>
      <c r="K9" s="75">
        <v>1234567</v>
      </c>
      <c r="L9" s="72" t="s">
        <v>107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 s="76" t="s">
        <v>358</v>
      </c>
      <c r="BU9" s="73" t="s">
        <v>3</v>
      </c>
      <c r="BV9" s="73"/>
      <c r="BW9" s="73" t="s">
        <v>3</v>
      </c>
      <c r="BX9" s="73"/>
      <c r="BY9" s="73" t="s">
        <v>3</v>
      </c>
      <c r="BZ9"/>
      <c r="CA9" s="73" t="s">
        <v>347</v>
      </c>
      <c r="CB9"/>
      <c r="CC9"/>
      <c r="CD9"/>
      <c r="CE9"/>
    </row>
    <row r="10" spans="1:83" x14ac:dyDescent="0.25">
      <c r="A10" s="73" t="s">
        <v>773</v>
      </c>
      <c r="B10" s="74">
        <v>1</v>
      </c>
      <c r="C10" s="73" t="s">
        <v>3</v>
      </c>
      <c r="D10" s="73" t="s">
        <v>60</v>
      </c>
      <c r="E10" s="75"/>
      <c r="F10" s="75"/>
      <c r="G10" s="75"/>
      <c r="H10" s="75"/>
      <c r="I10" s="75"/>
      <c r="J10" s="75" t="s">
        <v>103</v>
      </c>
      <c r="K10" s="75">
        <v>1234567</v>
      </c>
      <c r="L10" s="72" t="s">
        <v>107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 s="76" t="s">
        <v>358</v>
      </c>
      <c r="BU10" s="73" t="s">
        <v>3</v>
      </c>
      <c r="BV10" s="73"/>
      <c r="BW10" s="73" t="s">
        <v>3</v>
      </c>
      <c r="BX10" s="73"/>
      <c r="BY10" s="73" t="s">
        <v>3</v>
      </c>
      <c r="BZ10"/>
      <c r="CA10" s="73" t="s">
        <v>1109</v>
      </c>
      <c r="CB10"/>
      <c r="CC10"/>
      <c r="CD10"/>
      <c r="CE10"/>
    </row>
    <row r="11" spans="1:83" x14ac:dyDescent="0.25">
      <c r="A11" s="73" t="s">
        <v>912</v>
      </c>
      <c r="B11" s="74">
        <v>1</v>
      </c>
      <c r="C11" s="73" t="s">
        <v>3</v>
      </c>
      <c r="D11" s="73" t="s">
        <v>60</v>
      </c>
      <c r="E11" s="75"/>
      <c r="F11" s="75"/>
      <c r="G11" s="75"/>
      <c r="H11" s="75"/>
      <c r="I11" s="75"/>
      <c r="J11" s="75" t="s">
        <v>103</v>
      </c>
      <c r="K11" s="75">
        <v>1234567</v>
      </c>
      <c r="L11" s="72" t="s">
        <v>107</v>
      </c>
      <c r="AI11" s="77" t="s">
        <v>3</v>
      </c>
      <c r="AJ11" s="77" t="s">
        <v>3</v>
      </c>
      <c r="AK11" s="77" t="s">
        <v>3</v>
      </c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 s="76" t="s">
        <v>358</v>
      </c>
      <c r="BU11" s="73" t="s">
        <v>3</v>
      </c>
      <c r="BV11" s="73"/>
      <c r="BW11" s="73" t="s">
        <v>3</v>
      </c>
      <c r="BX11" s="73"/>
      <c r="BY11" s="73" t="s">
        <v>3</v>
      </c>
      <c r="BZ11"/>
      <c r="CA11" t="s">
        <v>2116</v>
      </c>
      <c r="CB11"/>
      <c r="CC11"/>
      <c r="CD11"/>
      <c r="CE11"/>
    </row>
    <row r="12" spans="1:83" x14ac:dyDescent="0.25">
      <c r="A12" s="73" t="s">
        <v>913</v>
      </c>
      <c r="B12" s="74">
        <v>1</v>
      </c>
      <c r="C12" s="73" t="s">
        <v>3</v>
      </c>
      <c r="D12" s="73" t="s">
        <v>988</v>
      </c>
      <c r="E12" s="79"/>
      <c r="F12" s="79"/>
      <c r="G12" s="79"/>
      <c r="H12" s="79"/>
      <c r="I12" s="79"/>
      <c r="J12"/>
      <c r="K12"/>
      <c r="L12" s="72" t="s">
        <v>107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72" t="s">
        <v>308</v>
      </c>
      <c r="BE12" s="86" t="s">
        <v>996</v>
      </c>
      <c r="BF12" s="86" t="s">
        <v>308</v>
      </c>
      <c r="BG12" s="86" t="s">
        <v>997</v>
      </c>
      <c r="BH12" s="86" t="s">
        <v>308</v>
      </c>
      <c r="BI12" s="72" t="s">
        <v>650</v>
      </c>
      <c r="BJ12" s="72" t="s">
        <v>308</v>
      </c>
      <c r="BK12" s="86" t="s">
        <v>651</v>
      </c>
      <c r="BL12" s="72" t="s">
        <v>652</v>
      </c>
      <c r="BM12" s="72" t="s">
        <v>308</v>
      </c>
      <c r="BN12" s="94" t="s">
        <v>653</v>
      </c>
      <c r="BO12" s="94"/>
      <c r="BP12" s="94"/>
      <c r="BQ12" s="94"/>
      <c r="BR12" s="94"/>
      <c r="BS12" s="94"/>
      <c r="BT12" s="76" t="s">
        <v>358</v>
      </c>
      <c r="BU12" s="73" t="s">
        <v>3</v>
      </c>
      <c r="BV12" s="73"/>
      <c r="BW12" s="73" t="s">
        <v>3</v>
      </c>
      <c r="BX12" s="73"/>
      <c r="BY12" s="73" t="s">
        <v>3</v>
      </c>
      <c r="BZ12"/>
      <c r="CA12" t="s">
        <v>2122</v>
      </c>
      <c r="CB12"/>
      <c r="CC12"/>
      <c r="CD12"/>
      <c r="CE12"/>
    </row>
    <row r="13" spans="1:83" x14ac:dyDescent="0.25">
      <c r="A13" s="73" t="s">
        <v>872</v>
      </c>
      <c r="B13" s="74">
        <v>1</v>
      </c>
      <c r="C13" s="73" t="s">
        <v>3</v>
      </c>
      <c r="D13" s="73" t="s">
        <v>60</v>
      </c>
      <c r="E13" s="75"/>
      <c r="F13" s="75"/>
      <c r="G13" s="75"/>
      <c r="H13" s="75"/>
      <c r="I13" s="75"/>
      <c r="J13" s="75" t="s">
        <v>103</v>
      </c>
      <c r="K13" s="75">
        <v>1234567</v>
      </c>
      <c r="L13" s="72" t="s">
        <v>107</v>
      </c>
      <c r="AI13"/>
      <c r="AJ13"/>
      <c r="AK13"/>
      <c r="AL13" s="78" t="s">
        <v>3</v>
      </c>
      <c r="AM13" s="78" t="s">
        <v>3</v>
      </c>
      <c r="AN13" s="78" t="s">
        <v>894</v>
      </c>
      <c r="AO13" s="78" t="s">
        <v>895</v>
      </c>
      <c r="AP13" s="78" t="s">
        <v>878</v>
      </c>
      <c r="AQ13" s="78" t="s">
        <v>3</v>
      </c>
      <c r="AR13" s="79" t="s">
        <v>881</v>
      </c>
      <c r="AS13" s="72" t="s">
        <v>3</v>
      </c>
      <c r="AT13" s="79" t="s">
        <v>891</v>
      </c>
      <c r="AU13" s="79" t="s">
        <v>3</v>
      </c>
      <c r="AV13" s="80" t="s">
        <v>670</v>
      </c>
      <c r="AW13" s="72" t="s">
        <v>3</v>
      </c>
      <c r="AX13" s="80" t="s">
        <v>671</v>
      </c>
      <c r="AY13" s="72" t="s">
        <v>3</v>
      </c>
      <c r="AZ13" s="72" t="s">
        <v>3</v>
      </c>
      <c r="BA13" s="72" t="s">
        <v>3</v>
      </c>
      <c r="BB13"/>
      <c r="BC13" s="72" t="s">
        <v>3</v>
      </c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 s="76" t="s">
        <v>358</v>
      </c>
      <c r="BU13" s="73" t="s">
        <v>3</v>
      </c>
      <c r="BV13" s="73"/>
      <c r="BW13" s="73" t="s">
        <v>3</v>
      </c>
      <c r="BX13" s="73"/>
      <c r="BY13" s="73" t="s">
        <v>3</v>
      </c>
      <c r="BZ13"/>
      <c r="CA13" t="s">
        <v>2125</v>
      </c>
      <c r="CB13"/>
      <c r="CC13"/>
      <c r="CD13"/>
      <c r="CE13"/>
    </row>
    <row r="14" spans="1:83" x14ac:dyDescent="0.25">
      <c r="A14" s="73" t="s">
        <v>918</v>
      </c>
      <c r="B14" s="74">
        <v>1</v>
      </c>
      <c r="C14" s="73" t="s">
        <v>3</v>
      </c>
      <c r="D14" s="73" t="s">
        <v>60</v>
      </c>
      <c r="E14" s="75"/>
      <c r="F14" s="75"/>
      <c r="G14" s="75"/>
      <c r="H14" s="75"/>
      <c r="I14" s="75"/>
      <c r="J14" s="75" t="s">
        <v>103</v>
      </c>
      <c r="K14" s="75">
        <v>1234567</v>
      </c>
      <c r="L14" s="72" t="s">
        <v>107</v>
      </c>
      <c r="AI14" s="77" t="s">
        <v>3</v>
      </c>
      <c r="AJ14" s="77" t="s">
        <v>3</v>
      </c>
      <c r="AK14" s="77" t="s">
        <v>3</v>
      </c>
      <c r="AL14" s="78" t="s">
        <v>3</v>
      </c>
      <c r="AM14" s="78" t="s">
        <v>3</v>
      </c>
      <c r="AN14" s="78" t="s">
        <v>894</v>
      </c>
      <c r="AO14" s="78" t="s">
        <v>895</v>
      </c>
      <c r="AP14" s="78" t="s">
        <v>878</v>
      </c>
      <c r="AQ14" s="78" t="s">
        <v>3</v>
      </c>
      <c r="AR14" s="79" t="s">
        <v>881</v>
      </c>
      <c r="AS14" s="72" t="s">
        <v>3</v>
      </c>
      <c r="AT14" s="79" t="s">
        <v>891</v>
      </c>
      <c r="AU14" s="79" t="s">
        <v>3</v>
      </c>
      <c r="AV14" s="80" t="s">
        <v>1075</v>
      </c>
      <c r="AW14" s="72" t="s">
        <v>3</v>
      </c>
      <c r="AX14" s="80" t="s">
        <v>1076</v>
      </c>
      <c r="AY14" s="72" t="s">
        <v>3</v>
      </c>
      <c r="AZ14" s="72" t="s">
        <v>3</v>
      </c>
      <c r="BA14" s="72" t="s">
        <v>3</v>
      </c>
      <c r="BB14"/>
      <c r="BC14" s="72" t="s">
        <v>3</v>
      </c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 s="76" t="s">
        <v>358</v>
      </c>
      <c r="BU14" s="73" t="s">
        <v>3</v>
      </c>
      <c r="BV14" s="73"/>
      <c r="BW14" s="73" t="s">
        <v>3</v>
      </c>
      <c r="BX14" s="73"/>
      <c r="BY14" s="73" t="s">
        <v>3</v>
      </c>
      <c r="BZ14"/>
      <c r="CA14" t="s">
        <v>2100</v>
      </c>
      <c r="CB14"/>
      <c r="CC14"/>
      <c r="CD14"/>
      <c r="CE14"/>
    </row>
    <row r="15" spans="1:83" x14ac:dyDescent="0.25">
      <c r="A15" s="73" t="s">
        <v>919</v>
      </c>
      <c r="B15" s="74">
        <v>1</v>
      </c>
      <c r="C15" s="73" t="s">
        <v>3</v>
      </c>
      <c r="D15" s="73" t="s">
        <v>988</v>
      </c>
      <c r="E15" s="79"/>
      <c r="F15" s="79"/>
      <c r="G15" s="79"/>
      <c r="H15" s="79"/>
      <c r="I15" s="79"/>
      <c r="J15"/>
      <c r="K15"/>
      <c r="L15" s="72" t="s">
        <v>107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72" t="s">
        <v>308</v>
      </c>
      <c r="BE15" s="86" t="s">
        <v>996</v>
      </c>
      <c r="BF15" s="86" t="s">
        <v>308</v>
      </c>
      <c r="BG15" s="86" t="s">
        <v>997</v>
      </c>
      <c r="BH15" s="86" t="s">
        <v>308</v>
      </c>
      <c r="BI15" s="72" t="s">
        <v>650</v>
      </c>
      <c r="BJ15" s="72" t="s">
        <v>308</v>
      </c>
      <c r="BK15" s="86" t="s">
        <v>651</v>
      </c>
      <c r="BL15" s="72" t="s">
        <v>652</v>
      </c>
      <c r="BM15" s="72" t="s">
        <v>308</v>
      </c>
      <c r="BN15" s="94" t="s">
        <v>653</v>
      </c>
      <c r="BO15" s="94"/>
      <c r="BP15" s="94"/>
      <c r="BQ15" s="94"/>
      <c r="BR15" s="94"/>
      <c r="BS15" s="94"/>
      <c r="BT15" s="76" t="s">
        <v>358</v>
      </c>
      <c r="BU15" s="73" t="s">
        <v>3</v>
      </c>
      <c r="BV15" s="73"/>
      <c r="BW15" s="73" t="s">
        <v>3</v>
      </c>
      <c r="BX15" s="73"/>
      <c r="BY15" s="73" t="s">
        <v>3</v>
      </c>
      <c r="BZ15"/>
      <c r="CA15" t="s">
        <v>2104</v>
      </c>
      <c r="CB15"/>
      <c r="CC15"/>
      <c r="CD15"/>
      <c r="CE15"/>
    </row>
    <row r="16" spans="1:83" x14ac:dyDescent="0.25">
      <c r="A16" s="73" t="s">
        <v>920</v>
      </c>
      <c r="B16" s="74">
        <v>1</v>
      </c>
      <c r="C16" s="73" t="s">
        <v>3</v>
      </c>
      <c r="D16" s="73" t="s">
        <v>60</v>
      </c>
      <c r="E16" s="75"/>
      <c r="F16" s="75"/>
      <c r="G16" s="75"/>
      <c r="H16" s="75"/>
      <c r="I16" s="75"/>
      <c r="J16" s="75" t="s">
        <v>103</v>
      </c>
      <c r="K16" s="75">
        <v>1234567</v>
      </c>
      <c r="L16" s="72" t="s">
        <v>107</v>
      </c>
      <c r="AI16" s="77" t="s">
        <v>3</v>
      </c>
      <c r="AJ16" s="77" t="s">
        <v>3</v>
      </c>
      <c r="AK16" s="77" t="s">
        <v>3</v>
      </c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 s="76" t="s">
        <v>358</v>
      </c>
      <c r="BU16" s="73" t="s">
        <v>3</v>
      </c>
      <c r="BV16" s="73"/>
      <c r="BW16" s="73" t="s">
        <v>3</v>
      </c>
      <c r="BX16" s="73"/>
      <c r="BY16" s="73" t="s">
        <v>3</v>
      </c>
      <c r="BZ16"/>
      <c r="CA16" t="s">
        <v>2077</v>
      </c>
      <c r="CB16"/>
      <c r="CC16"/>
      <c r="CD16"/>
      <c r="CE16"/>
    </row>
    <row r="17" spans="1:112" x14ac:dyDescent="0.25">
      <c r="A17" s="73" t="s">
        <v>921</v>
      </c>
      <c r="B17" s="74">
        <v>1</v>
      </c>
      <c r="C17" s="73" t="s">
        <v>3</v>
      </c>
      <c r="D17" s="73" t="s">
        <v>988</v>
      </c>
      <c r="E17" s="79"/>
      <c r="F17" s="79"/>
      <c r="G17" s="79"/>
      <c r="H17" s="79"/>
      <c r="I17" s="79"/>
      <c r="J17"/>
      <c r="K17"/>
      <c r="L17" s="72" t="s">
        <v>107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 s="72" t="s">
        <v>308</v>
      </c>
      <c r="BE17" s="86" t="s">
        <v>996</v>
      </c>
      <c r="BF17" s="86" t="s">
        <v>308</v>
      </c>
      <c r="BG17" s="86" t="s">
        <v>997</v>
      </c>
      <c r="BH17" s="86" t="s">
        <v>308</v>
      </c>
      <c r="BI17" s="72" t="s">
        <v>650</v>
      </c>
      <c r="BJ17" s="72" t="s">
        <v>308</v>
      </c>
      <c r="BK17" s="86" t="s">
        <v>651</v>
      </c>
      <c r="BL17" s="72" t="s">
        <v>652</v>
      </c>
      <c r="BM17" s="72" t="s">
        <v>308</v>
      </c>
      <c r="BN17" s="94" t="s">
        <v>653</v>
      </c>
      <c r="BO17" s="94"/>
      <c r="BP17" s="94"/>
      <c r="BQ17" s="94"/>
      <c r="BR17" s="94"/>
      <c r="BS17" s="94"/>
      <c r="BT17" s="76" t="s">
        <v>358</v>
      </c>
      <c r="BU17" s="73" t="s">
        <v>3</v>
      </c>
      <c r="BV17" s="73"/>
      <c r="BW17" s="73" t="s">
        <v>3</v>
      </c>
      <c r="BX17" s="73"/>
      <c r="BY17" s="73" t="s">
        <v>3</v>
      </c>
      <c r="BZ17"/>
      <c r="CA17" t="s">
        <v>2091</v>
      </c>
      <c r="CB17"/>
      <c r="CC17"/>
      <c r="CD17"/>
      <c r="CE17"/>
    </row>
    <row r="18" spans="1:112" x14ac:dyDescent="0.25">
      <c r="A18" s="73" t="s">
        <v>914</v>
      </c>
      <c r="B18" s="74">
        <v>1</v>
      </c>
      <c r="C18" s="73" t="s">
        <v>3</v>
      </c>
      <c r="D18" s="73" t="s">
        <v>60</v>
      </c>
      <c r="E18" s="75"/>
      <c r="F18" s="75"/>
      <c r="G18" s="75"/>
      <c r="H18" s="75"/>
      <c r="I18" s="75"/>
      <c r="J18" s="75" t="s">
        <v>103</v>
      </c>
      <c r="K18" s="75">
        <v>1234567</v>
      </c>
      <c r="L18" s="72" t="s">
        <v>107</v>
      </c>
      <c r="AI18" s="77" t="s">
        <v>3</v>
      </c>
      <c r="AJ18" s="77" t="s">
        <v>3</v>
      </c>
      <c r="AK18" s="77" t="s">
        <v>3</v>
      </c>
      <c r="AL18" s="78" t="s">
        <v>3</v>
      </c>
      <c r="AM18" s="78" t="s">
        <v>3</v>
      </c>
      <c r="AN18" s="78" t="s">
        <v>894</v>
      </c>
      <c r="AO18" s="78" t="s">
        <v>895</v>
      </c>
      <c r="AP18" s="78" t="s">
        <v>878</v>
      </c>
      <c r="AQ18" s="78" t="s">
        <v>3</v>
      </c>
      <c r="AR18" s="79" t="s">
        <v>881</v>
      </c>
      <c r="AS18" s="72" t="s">
        <v>3</v>
      </c>
      <c r="AT18" s="79" t="s">
        <v>891</v>
      </c>
      <c r="AU18" s="79" t="s">
        <v>3</v>
      </c>
      <c r="AV18" s="80" t="s">
        <v>1075</v>
      </c>
      <c r="AW18" s="72" t="s">
        <v>3</v>
      </c>
      <c r="AX18" s="80" t="s">
        <v>1076</v>
      </c>
      <c r="AY18" s="72" t="s">
        <v>3</v>
      </c>
      <c r="AZ18" s="72" t="s">
        <v>3</v>
      </c>
      <c r="BA18" s="72" t="s">
        <v>3</v>
      </c>
      <c r="BB18"/>
      <c r="BC18" s="72" t="s">
        <v>3</v>
      </c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76" t="s">
        <v>358</v>
      </c>
      <c r="BU18" s="73" t="s">
        <v>3</v>
      </c>
      <c r="BV18" s="73"/>
      <c r="BW18" s="73" t="s">
        <v>3</v>
      </c>
      <c r="BX18" s="73"/>
      <c r="BY18" s="73" t="s">
        <v>3</v>
      </c>
      <c r="BZ18"/>
      <c r="CA18" t="s">
        <v>2097</v>
      </c>
      <c r="CB18"/>
      <c r="CC18"/>
      <c r="CD18"/>
      <c r="CE18"/>
    </row>
    <row r="19" spans="1:112" x14ac:dyDescent="0.25">
      <c r="A19" s="73" t="s">
        <v>922</v>
      </c>
      <c r="B19" s="74">
        <v>1</v>
      </c>
      <c r="C19" s="73" t="s">
        <v>3</v>
      </c>
      <c r="D19" s="73" t="s">
        <v>60</v>
      </c>
      <c r="E19" s="75"/>
      <c r="F19" s="75"/>
      <c r="G19" s="75"/>
      <c r="H19" s="75"/>
      <c r="I19" s="75"/>
      <c r="J19" s="75" t="s">
        <v>103</v>
      </c>
      <c r="K19" s="75">
        <v>1234567</v>
      </c>
      <c r="L19" s="72" t="s">
        <v>107</v>
      </c>
      <c r="AI19" s="77" t="s">
        <v>3</v>
      </c>
      <c r="AJ19" s="77" t="s">
        <v>3</v>
      </c>
      <c r="AK19" s="77" t="s">
        <v>3</v>
      </c>
      <c r="AL19" s="78" t="s">
        <v>3</v>
      </c>
      <c r="AM19" s="78" t="s">
        <v>3</v>
      </c>
      <c r="AN19" s="78" t="s">
        <v>894</v>
      </c>
      <c r="AO19" s="78" t="s">
        <v>895</v>
      </c>
      <c r="AP19" s="78" t="s">
        <v>878</v>
      </c>
      <c r="AQ19" s="78" t="s">
        <v>3</v>
      </c>
      <c r="AR19" s="79" t="s">
        <v>881</v>
      </c>
      <c r="AS19" s="72" t="s">
        <v>3</v>
      </c>
      <c r="AT19" s="79" t="s">
        <v>891</v>
      </c>
      <c r="AU19" s="79" t="s">
        <v>3</v>
      </c>
      <c r="AV19" s="80" t="s">
        <v>1075</v>
      </c>
      <c r="AW19" s="72" t="s">
        <v>3</v>
      </c>
      <c r="AX19" s="80" t="s">
        <v>1076</v>
      </c>
      <c r="AY19" s="72" t="s">
        <v>3</v>
      </c>
      <c r="AZ19" s="72" t="s">
        <v>3</v>
      </c>
      <c r="BA19" s="72" t="s">
        <v>3</v>
      </c>
      <c r="BB19"/>
      <c r="BC19" s="72" t="s">
        <v>3</v>
      </c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 s="76" t="s">
        <v>358</v>
      </c>
      <c r="BU19" s="73" t="s">
        <v>3</v>
      </c>
      <c r="BV19" s="73"/>
      <c r="BW19" s="73" t="s">
        <v>3</v>
      </c>
      <c r="BX19" s="73"/>
      <c r="BY19" s="73" t="s">
        <v>3</v>
      </c>
      <c r="BZ19"/>
      <c r="CA19" t="s">
        <v>2107</v>
      </c>
      <c r="CB19"/>
      <c r="CC19"/>
      <c r="CD19"/>
      <c r="CE19"/>
    </row>
    <row r="20" spans="1:112" x14ac:dyDescent="0.25">
      <c r="A20" s="73" t="s">
        <v>1121</v>
      </c>
      <c r="B20" s="74">
        <v>1</v>
      </c>
      <c r="C20" s="73" t="s">
        <v>3</v>
      </c>
      <c r="D20" s="73" t="s">
        <v>988</v>
      </c>
      <c r="E20" s="79"/>
      <c r="F20" s="79"/>
      <c r="H20" s="79"/>
      <c r="I20" s="79"/>
      <c r="J20"/>
      <c r="K20"/>
      <c r="L20" s="72" t="s">
        <v>107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 s="72" t="s">
        <v>308</v>
      </c>
      <c r="BE20" s="86" t="s">
        <v>996</v>
      </c>
      <c r="BF20" s="86" t="s">
        <v>308</v>
      </c>
      <c r="BG20" s="86" t="s">
        <v>997</v>
      </c>
      <c r="BH20" s="86" t="s">
        <v>308</v>
      </c>
      <c r="BI20" s="72" t="s">
        <v>650</v>
      </c>
      <c r="BJ20" s="72" t="s">
        <v>308</v>
      </c>
      <c r="BK20" s="86" t="s">
        <v>651</v>
      </c>
      <c r="BL20" s="72" t="s">
        <v>652</v>
      </c>
      <c r="BM20" s="72" t="s">
        <v>308</v>
      </c>
      <c r="BN20" s="94" t="s">
        <v>653</v>
      </c>
      <c r="BO20" s="94"/>
      <c r="BP20" s="94"/>
      <c r="BQ20" s="94"/>
      <c r="BR20" s="94"/>
      <c r="BS20" s="94"/>
      <c r="BT20" s="76" t="s">
        <v>358</v>
      </c>
      <c r="BU20" s="73" t="s">
        <v>3</v>
      </c>
      <c r="BV20" s="73"/>
      <c r="BW20" s="73" t="s">
        <v>3</v>
      </c>
      <c r="BX20" s="73"/>
      <c r="BY20" s="73" t="s">
        <v>3</v>
      </c>
      <c r="BZ20"/>
      <c r="CA20" t="s">
        <v>2112</v>
      </c>
      <c r="CB20"/>
      <c r="CC20"/>
      <c r="CD20"/>
      <c r="CE20"/>
    </row>
    <row r="21" spans="1:112" x14ac:dyDescent="0.25">
      <c r="A21" s="73" t="s">
        <v>1164</v>
      </c>
      <c r="B21" s="74">
        <v>1</v>
      </c>
      <c r="C21" s="73" t="s">
        <v>3</v>
      </c>
      <c r="G21" s="73" t="s">
        <v>60</v>
      </c>
      <c r="H21" s="73" t="s">
        <v>1239</v>
      </c>
      <c r="I21" s="79"/>
      <c r="L21" s="73" t="s">
        <v>107</v>
      </c>
      <c r="M21" s="73" t="s">
        <v>308</v>
      </c>
      <c r="N21" s="67" t="s">
        <v>1240</v>
      </c>
      <c r="O21" s="67" t="s">
        <v>3</v>
      </c>
      <c r="P21" s="67" t="s">
        <v>1240</v>
      </c>
      <c r="Q21" s="67" t="s">
        <v>3</v>
      </c>
      <c r="R21" s="67" t="s">
        <v>1240</v>
      </c>
      <c r="S21" s="67" t="s">
        <v>3</v>
      </c>
      <c r="T21" s="67" t="s">
        <v>1240</v>
      </c>
      <c r="U21" s="67" t="s">
        <v>3</v>
      </c>
      <c r="V21" s="67" t="s">
        <v>1240</v>
      </c>
      <c r="W21" s="67" t="s">
        <v>3</v>
      </c>
      <c r="X21" s="67" t="s">
        <v>1240</v>
      </c>
      <c r="Y21" s="67" t="s">
        <v>3</v>
      </c>
      <c r="Z21" s="67" t="s">
        <v>1240</v>
      </c>
      <c r="AA21" s="67" t="s">
        <v>3</v>
      </c>
      <c r="AB21" s="67" t="s">
        <v>1240</v>
      </c>
      <c r="AC21" s="67" t="s">
        <v>3</v>
      </c>
      <c r="AD21" s="67" t="s">
        <v>1240</v>
      </c>
      <c r="AE21" s="73" t="s">
        <v>3</v>
      </c>
      <c r="AF21" s="67" t="s">
        <v>1241</v>
      </c>
      <c r="AG21" s="67" t="s">
        <v>1242</v>
      </c>
      <c r="AH21" s="105" t="s">
        <v>1243</v>
      </c>
      <c r="AI21" s="73" t="s">
        <v>308</v>
      </c>
      <c r="AJ21" s="67" t="s">
        <v>1240</v>
      </c>
      <c r="AK21" s="67" t="s">
        <v>3</v>
      </c>
      <c r="AL21" s="67" t="s">
        <v>1240</v>
      </c>
      <c r="AM21" s="67" t="s">
        <v>3</v>
      </c>
      <c r="AN21" s="67" t="s">
        <v>1240</v>
      </c>
      <c r="AO21" s="67" t="s">
        <v>3</v>
      </c>
      <c r="AP21" s="67" t="s">
        <v>1240</v>
      </c>
      <c r="AQ21" s="67" t="s">
        <v>3</v>
      </c>
      <c r="AR21" s="67" t="s">
        <v>1240</v>
      </c>
      <c r="AS21" s="67" t="s">
        <v>3</v>
      </c>
      <c r="AT21" s="67" t="s">
        <v>1240</v>
      </c>
      <c r="AU21" s="67" t="s">
        <v>3</v>
      </c>
      <c r="AV21" s="67" t="s">
        <v>1240</v>
      </c>
      <c r="AW21" s="67" t="s">
        <v>3</v>
      </c>
      <c r="AX21" s="67" t="s">
        <v>1240</v>
      </c>
      <c r="AY21" s="67" t="s">
        <v>3</v>
      </c>
      <c r="AZ21" s="67" t="s">
        <v>1240</v>
      </c>
      <c r="BA21" s="73" t="s">
        <v>3</v>
      </c>
      <c r="BB21" s="67" t="s">
        <v>1241</v>
      </c>
      <c r="BC21" s="67" t="s">
        <v>1242</v>
      </c>
      <c r="BD21" s="105" t="s">
        <v>1243</v>
      </c>
      <c r="CU21" s="72" t="s">
        <v>3</v>
      </c>
      <c r="CV21" s="76" t="s">
        <v>358</v>
      </c>
      <c r="CX21" s="73" t="s">
        <v>3</v>
      </c>
      <c r="CY21" s="73" t="s">
        <v>3</v>
      </c>
      <c r="CZ21"/>
      <c r="DA21" s="102" t="s">
        <v>3</v>
      </c>
      <c r="DB21"/>
      <c r="DC21"/>
      <c r="DD21" t="s">
        <v>1244</v>
      </c>
      <c r="DE21"/>
      <c r="DF21"/>
      <c r="DG21"/>
      <c r="DH21"/>
    </row>
    <row r="22" spans="1:112" x14ac:dyDescent="0.25">
      <c r="A22" s="73" t="s">
        <v>135</v>
      </c>
      <c r="B22" s="74">
        <v>1</v>
      </c>
      <c r="C22" s="73" t="s">
        <v>3</v>
      </c>
      <c r="E22" s="73" t="s">
        <v>60</v>
      </c>
      <c r="F22" s="73" t="s">
        <v>1239</v>
      </c>
      <c r="G22" s="73"/>
      <c r="H22" s="73"/>
      <c r="I22" s="73" t="s">
        <v>107</v>
      </c>
      <c r="L22" s="73"/>
      <c r="M22" s="73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73"/>
      <c r="AF22" s="67"/>
      <c r="AG22" s="67"/>
      <c r="AH22" s="105"/>
      <c r="AI22" s="73"/>
      <c r="AJ22" s="67"/>
      <c r="AK22" s="67"/>
      <c r="AL22" s="67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73"/>
      <c r="BB22" s="67"/>
      <c r="BC22" s="67"/>
      <c r="BD22" s="105"/>
      <c r="BO22" s="72" t="s">
        <v>3</v>
      </c>
      <c r="BP22" s="72" t="s">
        <v>3</v>
      </c>
      <c r="BQ22" s="72" t="s">
        <v>1419</v>
      </c>
      <c r="BR22" s="76" t="s">
        <v>358</v>
      </c>
      <c r="BS22" s="76"/>
      <c r="BU22" s="79" t="s">
        <v>3</v>
      </c>
      <c r="BV22" s="2" t="s">
        <v>1274</v>
      </c>
      <c r="BX22" s="73" t="s">
        <v>3</v>
      </c>
      <c r="CA22" t="s">
        <v>1429</v>
      </c>
      <c r="CU22" s="72" t="s">
        <v>3</v>
      </c>
      <c r="CV22" s="76" t="s">
        <v>358</v>
      </c>
      <c r="CX22" s="73" t="s">
        <v>3</v>
      </c>
      <c r="CY22" s="73" t="s">
        <v>3</v>
      </c>
      <c r="CZ22"/>
      <c r="DA22" s="102" t="s">
        <v>3</v>
      </c>
      <c r="DB22"/>
      <c r="DC22"/>
      <c r="DD22" t="s">
        <v>1244</v>
      </c>
      <c r="DE22"/>
      <c r="DF22"/>
      <c r="DG22"/>
      <c r="DH22"/>
    </row>
    <row r="23" spans="1:112" x14ac:dyDescent="0.25">
      <c r="A23" s="73" t="s">
        <v>157</v>
      </c>
      <c r="B23" s="74">
        <v>1</v>
      </c>
      <c r="C23" s="73" t="s">
        <v>3</v>
      </c>
      <c r="E23" s="73" t="s">
        <v>60</v>
      </c>
      <c r="F23" s="73" t="s">
        <v>1239</v>
      </c>
      <c r="G23" s="73"/>
      <c r="H23" s="73"/>
      <c r="I23" s="73" t="s">
        <v>107</v>
      </c>
      <c r="L23" s="73"/>
      <c r="M23" s="73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73"/>
      <c r="AF23" s="67"/>
      <c r="AG23" s="67"/>
      <c r="AH23" s="105"/>
      <c r="AI23" s="73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73"/>
      <c r="BB23" s="67"/>
      <c r="BC23" s="67"/>
      <c r="BD23" s="105"/>
      <c r="BO23" s="72" t="s">
        <v>3</v>
      </c>
      <c r="BP23" s="72" t="s">
        <v>3</v>
      </c>
      <c r="BQ23" s="72" t="s">
        <v>1419</v>
      </c>
      <c r="BR23" s="76" t="s">
        <v>358</v>
      </c>
      <c r="BS23" s="76"/>
      <c r="BU23" s="79" t="s">
        <v>3</v>
      </c>
      <c r="BV23" s="2" t="s">
        <v>1274</v>
      </c>
      <c r="BX23" s="73" t="s">
        <v>3</v>
      </c>
      <c r="CA23" t="s">
        <v>1424</v>
      </c>
      <c r="CU23" s="72" t="s">
        <v>3</v>
      </c>
      <c r="CV23" s="76" t="s">
        <v>358</v>
      </c>
      <c r="CX23" s="73" t="s">
        <v>3</v>
      </c>
      <c r="CY23" s="73" t="s">
        <v>3</v>
      </c>
      <c r="CZ23"/>
      <c r="DA23" s="102" t="s">
        <v>3</v>
      </c>
      <c r="DB23"/>
      <c r="DC23"/>
      <c r="DD23" t="s">
        <v>1244</v>
      </c>
      <c r="DE23"/>
      <c r="DF23"/>
      <c r="DG23"/>
      <c r="DH23"/>
    </row>
    <row r="24" spans="1:112" x14ac:dyDescent="0.25">
      <c r="A24" s="73" t="s">
        <v>172</v>
      </c>
      <c r="B24" s="74">
        <v>1</v>
      </c>
      <c r="C24" s="73" t="s">
        <v>3</v>
      </c>
      <c r="E24" s="73" t="s">
        <v>60</v>
      </c>
      <c r="F24" s="73" t="s">
        <v>1239</v>
      </c>
      <c r="G24" s="73"/>
      <c r="H24" s="73"/>
      <c r="I24" s="73" t="s">
        <v>107</v>
      </c>
      <c r="L24" s="73"/>
      <c r="M24" s="73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73"/>
      <c r="AF24" s="67"/>
      <c r="AG24" s="67"/>
      <c r="AH24" s="105"/>
      <c r="AI24" s="73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73"/>
      <c r="BB24" s="67"/>
      <c r="BC24" s="67"/>
      <c r="BD24" s="105"/>
      <c r="BO24" s="72" t="s">
        <v>3</v>
      </c>
      <c r="BP24" s="72" t="s">
        <v>3</v>
      </c>
      <c r="BQ24" s="72" t="s">
        <v>1419</v>
      </c>
      <c r="BR24" s="76" t="s">
        <v>358</v>
      </c>
      <c r="BS24" s="76"/>
      <c r="BU24" s="79" t="s">
        <v>3</v>
      </c>
      <c r="BV24" s="2" t="s">
        <v>1274</v>
      </c>
      <c r="BX24" s="73" t="s">
        <v>3</v>
      </c>
      <c r="CA24" t="s">
        <v>1424</v>
      </c>
      <c r="CU24" s="72" t="s">
        <v>3</v>
      </c>
      <c r="CV24" s="76" t="s">
        <v>358</v>
      </c>
      <c r="CX24" s="73" t="s">
        <v>3</v>
      </c>
      <c r="CY24" s="73" t="s">
        <v>3</v>
      </c>
      <c r="CZ24"/>
      <c r="DA24" s="102" t="s">
        <v>3</v>
      </c>
      <c r="DB24"/>
      <c r="DC24"/>
      <c r="DD24" t="s">
        <v>1244</v>
      </c>
      <c r="DE24"/>
      <c r="DF24"/>
      <c r="DG24"/>
      <c r="DH24"/>
    </row>
    <row r="28" spans="1:112" x14ac:dyDescent="0.25">
      <c r="BU28" s="5"/>
      <c r="BV28" s="5"/>
      <c r="BW28" s="9"/>
      <c r="BX28" s="97"/>
    </row>
    <row r="29" spans="1:112" x14ac:dyDescent="0.25">
      <c r="BU29" s="2"/>
      <c r="BV29" s="14"/>
      <c r="BW29"/>
      <c r="BX29"/>
    </row>
  </sheetData>
  <hyperlinks>
    <hyperlink ref="AV13" r:id="rId1"/>
    <hyperlink ref="AX13" r:id="rId2"/>
    <hyperlink ref="AV14" r:id="rId3"/>
    <hyperlink ref="AX14" r:id="rId4"/>
    <hyperlink ref="AV18" r:id="rId5"/>
    <hyperlink ref="AX18" r:id="rId6"/>
    <hyperlink ref="AV19" r:id="rId7"/>
    <hyperlink ref="AX19" r:id="rId8"/>
  </hyperlinks>
  <pageMargins left="0.7" right="0.7" top="0.75" bottom="0.75" header="0.3" footer="0.3"/>
  <pageSetup orientation="portrait" r:id="rId9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9"/>
  <sheetViews>
    <sheetView topLeftCell="J1" zoomScale="85" zoomScaleNormal="85" workbookViewId="0">
      <selection activeCell="Q4" sqref="Q4"/>
    </sheetView>
  </sheetViews>
  <sheetFormatPr defaultRowHeight="15" x14ac:dyDescent="0.25"/>
  <cols>
    <col min="1" max="1" width="7.140625" style="1" bestFit="1" customWidth="1" collapsed="1"/>
    <col min="2" max="2" width="9.140625" style="1" collapsed="1"/>
    <col min="3" max="4" width="15.5703125" style="1" bestFit="1" customWidth="1" collapsed="1"/>
    <col min="5" max="5" width="13.7109375" style="1" bestFit="1" customWidth="1" collapsed="1"/>
    <col min="6" max="6" width="11.42578125" style="1" bestFit="1" customWidth="1" collapsed="1"/>
    <col min="7" max="7" width="20.85546875" style="1" bestFit="1" customWidth="1" collapsed="1"/>
    <col min="8" max="8" width="17.7109375" style="1" bestFit="1" customWidth="1" collapsed="1"/>
    <col min="9" max="9" width="17.7109375" style="1" customWidth="1" collapsed="1"/>
    <col min="10" max="10" width="22" style="1" bestFit="1" customWidth="1" collapsed="1"/>
    <col min="11" max="11" width="13.7109375" style="1" bestFit="1" customWidth="1" collapsed="1"/>
    <col min="12" max="12" width="12.7109375" style="1" bestFit="1" customWidth="1" collapsed="1"/>
    <col min="13" max="13" width="18.28515625" style="1" bestFit="1" customWidth="1" collapsed="1"/>
    <col min="14" max="14" width="17.28515625" style="1" bestFit="1" customWidth="1" collapsed="1"/>
    <col min="15" max="15" width="18.42578125" style="1" bestFit="1" customWidth="1" collapsed="1"/>
    <col min="16" max="16" width="17.42578125" style="1" bestFit="1" customWidth="1" collapsed="1"/>
    <col min="17" max="17" width="28.7109375" style="1" bestFit="1" customWidth="1" collapsed="1"/>
    <col min="18" max="16384" width="9.140625" style="1" collapsed="1"/>
  </cols>
  <sheetData>
    <row r="1" spans="1:21" ht="15.75" customHeight="1" x14ac:dyDescent="0.25">
      <c r="A1" s="4" t="s">
        <v>0</v>
      </c>
      <c r="B1" s="19" t="s">
        <v>18</v>
      </c>
      <c r="C1" s="5" t="s">
        <v>305</v>
      </c>
      <c r="D1" s="5" t="s">
        <v>43</v>
      </c>
      <c r="E1" s="5" t="s">
        <v>78</v>
      </c>
      <c r="F1" s="5" t="s">
        <v>158</v>
      </c>
      <c r="G1" s="9" t="s">
        <v>193</v>
      </c>
      <c r="H1" s="9" t="s">
        <v>657</v>
      </c>
      <c r="I1" s="9" t="s">
        <v>657</v>
      </c>
      <c r="J1" s="9" t="s">
        <v>215</v>
      </c>
      <c r="K1" s="9" t="s">
        <v>195</v>
      </c>
      <c r="L1" s="9" t="s">
        <v>196</v>
      </c>
      <c r="M1" s="9" t="s">
        <v>654</v>
      </c>
      <c r="N1" s="9" t="s">
        <v>655</v>
      </c>
      <c r="O1" s="9" t="s">
        <v>2047</v>
      </c>
      <c r="P1" s="9" t="s">
        <v>198</v>
      </c>
      <c r="Q1" s="97" t="s">
        <v>1096</v>
      </c>
    </row>
    <row r="2" spans="1:21" x14ac:dyDescent="0.25">
      <c r="A2" s="2" t="s">
        <v>188</v>
      </c>
      <c r="B2" s="2">
        <v>1</v>
      </c>
      <c r="C2" s="2" t="s">
        <v>43</v>
      </c>
      <c r="D2" t="s">
        <v>1328</v>
      </c>
      <c r="E2"/>
      <c r="F2" s="2" t="s">
        <v>3</v>
      </c>
      <c r="G2"/>
      <c r="H2"/>
      <c r="I2"/>
      <c r="J2"/>
      <c r="K2"/>
      <c r="L2"/>
      <c r="M2"/>
      <c r="N2"/>
      <c r="O2"/>
      <c r="P2"/>
      <c r="Q2"/>
    </row>
    <row r="3" spans="1:21" x14ac:dyDescent="0.25">
      <c r="A3" s="2" t="s">
        <v>189</v>
      </c>
      <c r="B3" s="2">
        <v>1</v>
      </c>
      <c r="C3"/>
      <c r="D3"/>
      <c r="E3"/>
      <c r="F3" s="2" t="s">
        <v>3</v>
      </c>
      <c r="G3" s="2" t="s">
        <v>3</v>
      </c>
      <c r="H3" s="2" t="s">
        <v>1045</v>
      </c>
      <c r="I3" s="2" t="s">
        <v>659</v>
      </c>
      <c r="J3"/>
      <c r="K3" s="2" t="s">
        <v>727</v>
      </c>
      <c r="L3" s="2" t="s">
        <v>728</v>
      </c>
      <c r="M3" s="2" t="s">
        <v>3</v>
      </c>
      <c r="N3" s="2" t="s">
        <v>3</v>
      </c>
      <c r="O3" s="2" t="s">
        <v>3</v>
      </c>
      <c r="P3" s="2" t="s">
        <v>3</v>
      </c>
      <c r="Q3"/>
    </row>
    <row r="4" spans="1:21" s="79" customFormat="1" x14ac:dyDescent="0.25">
      <c r="A4" s="73" t="s">
        <v>912</v>
      </c>
      <c r="B4" s="73">
        <v>1</v>
      </c>
      <c r="C4"/>
      <c r="D4"/>
      <c r="E4"/>
      <c r="F4" s="73" t="s">
        <v>3</v>
      </c>
      <c r="G4" s="73" t="s">
        <v>3</v>
      </c>
      <c r="H4" s="73" t="s">
        <v>658</v>
      </c>
      <c r="I4" s="73" t="s">
        <v>659</v>
      </c>
      <c r="J4"/>
      <c r="K4" s="79" t="s">
        <v>962</v>
      </c>
      <c r="L4" s="79" t="s">
        <v>963</v>
      </c>
      <c r="M4" s="73" t="s">
        <v>3</v>
      </c>
      <c r="N4" s="73" t="s">
        <v>3</v>
      </c>
      <c r="O4" s="73" t="s">
        <v>3</v>
      </c>
      <c r="P4" s="73" t="s">
        <v>3</v>
      </c>
      <c r="Q4" s="77" t="s">
        <v>3</v>
      </c>
      <c r="R4" s="72"/>
      <c r="S4" s="72"/>
      <c r="T4" s="72"/>
      <c r="U4" s="72"/>
    </row>
    <row r="5" spans="1:21" s="79" customFormat="1" x14ac:dyDescent="0.25">
      <c r="A5" s="73" t="s">
        <v>918</v>
      </c>
      <c r="B5" s="73">
        <v>1</v>
      </c>
      <c r="C5"/>
      <c r="D5"/>
      <c r="E5"/>
      <c r="F5" s="73" t="s">
        <v>3</v>
      </c>
      <c r="G5" s="73" t="s">
        <v>3</v>
      </c>
      <c r="H5" s="73" t="s">
        <v>658</v>
      </c>
      <c r="I5" s="73" t="s">
        <v>659</v>
      </c>
      <c r="J5"/>
      <c r="K5" s="79" t="s">
        <v>962</v>
      </c>
      <c r="L5" s="79" t="s">
        <v>963</v>
      </c>
      <c r="M5" s="73" t="s">
        <v>3</v>
      </c>
      <c r="N5" s="73" t="s">
        <v>3</v>
      </c>
      <c r="O5" s="73" t="s">
        <v>3</v>
      </c>
      <c r="P5" s="73" t="s">
        <v>3</v>
      </c>
      <c r="Q5" s="77" t="s">
        <v>3</v>
      </c>
      <c r="R5" s="72"/>
      <c r="S5" s="72"/>
      <c r="T5" s="72"/>
      <c r="U5" s="72"/>
    </row>
    <row r="6" spans="1:21" s="79" customFormat="1" x14ac:dyDescent="0.25">
      <c r="A6" s="73" t="s">
        <v>919</v>
      </c>
      <c r="B6" s="73">
        <v>1</v>
      </c>
      <c r="C6"/>
      <c r="D6"/>
      <c r="E6"/>
      <c r="F6" s="73" t="s">
        <v>3</v>
      </c>
      <c r="G6" s="73" t="s">
        <v>3</v>
      </c>
      <c r="H6" s="73" t="s">
        <v>658</v>
      </c>
      <c r="I6" s="73" t="s">
        <v>659</v>
      </c>
      <c r="J6"/>
      <c r="K6" s="79" t="s">
        <v>962</v>
      </c>
      <c r="L6" s="79" t="s">
        <v>963</v>
      </c>
      <c r="M6" s="73" t="s">
        <v>3</v>
      </c>
      <c r="N6" s="73" t="s">
        <v>3</v>
      </c>
      <c r="O6" s="73" t="s">
        <v>3</v>
      </c>
      <c r="P6" s="73" t="s">
        <v>3</v>
      </c>
      <c r="Q6" s="77" t="s">
        <v>3</v>
      </c>
      <c r="R6" s="72"/>
      <c r="S6" s="72"/>
      <c r="T6" s="72"/>
      <c r="U6" s="72"/>
    </row>
    <row r="7" spans="1:21" s="79" customFormat="1" x14ac:dyDescent="0.25">
      <c r="A7" s="73" t="s">
        <v>920</v>
      </c>
      <c r="B7" s="73">
        <v>1</v>
      </c>
      <c r="C7"/>
      <c r="D7"/>
      <c r="E7"/>
      <c r="F7" s="73" t="s">
        <v>3</v>
      </c>
      <c r="G7" s="73" t="s">
        <v>3</v>
      </c>
      <c r="H7" s="73" t="s">
        <v>658</v>
      </c>
      <c r="I7" s="73" t="s">
        <v>659</v>
      </c>
      <c r="J7"/>
      <c r="K7" s="79" t="s">
        <v>962</v>
      </c>
      <c r="L7" s="79" t="s">
        <v>963</v>
      </c>
      <c r="M7" s="73" t="s">
        <v>3</v>
      </c>
      <c r="N7" s="73" t="s">
        <v>3</v>
      </c>
      <c r="O7" s="73" t="s">
        <v>3</v>
      </c>
      <c r="P7" s="73" t="s">
        <v>3</v>
      </c>
      <c r="Q7" s="77" t="s">
        <v>3</v>
      </c>
      <c r="R7" s="72"/>
      <c r="S7" s="72"/>
      <c r="T7" s="72"/>
      <c r="U7" s="72"/>
    </row>
    <row r="8" spans="1:21" s="79" customFormat="1" x14ac:dyDescent="0.25">
      <c r="A8" s="73" t="s">
        <v>914</v>
      </c>
      <c r="B8" s="73">
        <v>1</v>
      </c>
      <c r="C8"/>
      <c r="D8"/>
      <c r="E8"/>
      <c r="F8" s="73" t="s">
        <v>3</v>
      </c>
      <c r="G8" s="73" t="s">
        <v>3</v>
      </c>
      <c r="H8" s="73" t="s">
        <v>658</v>
      </c>
      <c r="I8" s="73" t="s">
        <v>659</v>
      </c>
      <c r="J8"/>
      <c r="K8" s="79" t="s">
        <v>962</v>
      </c>
      <c r="L8" s="79" t="s">
        <v>963</v>
      </c>
      <c r="M8" s="73" t="s">
        <v>3</v>
      </c>
      <c r="N8" s="73" t="s">
        <v>3</v>
      </c>
      <c r="O8" s="73" t="s">
        <v>3</v>
      </c>
      <c r="P8" s="73" t="s">
        <v>3</v>
      </c>
      <c r="Q8" s="77" t="s">
        <v>3</v>
      </c>
      <c r="R8" s="72"/>
      <c r="S8" s="72"/>
      <c r="T8" s="72"/>
      <c r="U8" s="72"/>
    </row>
    <row r="9" spans="1:21" s="79" customFormat="1" x14ac:dyDescent="0.25">
      <c r="A9" s="73" t="s">
        <v>922</v>
      </c>
      <c r="B9" s="73">
        <v>1</v>
      </c>
      <c r="C9"/>
      <c r="D9"/>
      <c r="E9"/>
      <c r="F9" s="73" t="s">
        <v>3</v>
      </c>
      <c r="G9" s="73" t="s">
        <v>3</v>
      </c>
      <c r="H9" s="73" t="s">
        <v>658</v>
      </c>
      <c r="I9" s="73" t="s">
        <v>659</v>
      </c>
      <c r="J9"/>
      <c r="K9" s="79" t="s">
        <v>962</v>
      </c>
      <c r="L9" s="79" t="s">
        <v>963</v>
      </c>
      <c r="M9" s="73" t="s">
        <v>3</v>
      </c>
      <c r="N9" s="73" t="s">
        <v>3</v>
      </c>
      <c r="O9" s="73" t="s">
        <v>3</v>
      </c>
      <c r="P9" s="73" t="s">
        <v>3</v>
      </c>
      <c r="Q9" s="77" t="s">
        <v>3</v>
      </c>
      <c r="R9" s="72"/>
      <c r="S9" s="72"/>
      <c r="T9" s="72"/>
      <c r="U9" s="72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S6"/>
  <sheetViews>
    <sheetView topLeftCell="G1" zoomScale="85" zoomScaleNormal="85" workbookViewId="0">
      <selection activeCell="N5" sqref="N5"/>
    </sheetView>
  </sheetViews>
  <sheetFormatPr defaultRowHeight="15" x14ac:dyDescent="0.25"/>
  <cols>
    <col min="1" max="1" width="6.140625" style="15" bestFit="1" customWidth="1" collapsed="1"/>
    <col min="2" max="2" width="9.140625" style="15" collapsed="1"/>
    <col min="3" max="3" width="10.42578125" style="15" bestFit="1" customWidth="1" collapsed="1"/>
    <col min="4" max="4" width="18.85546875" style="15" bestFit="1" customWidth="1" collapsed="1"/>
    <col min="5" max="6" width="18.85546875" style="15" customWidth="1" collapsed="1"/>
    <col min="7" max="7" width="19.85546875" style="15" bestFit="1" customWidth="1" collapsed="1"/>
    <col min="8" max="8" width="14" style="15" bestFit="1" customWidth="1" collapsed="1"/>
    <col min="9" max="9" width="21.42578125" style="15" bestFit="1" customWidth="1" collapsed="1"/>
    <col min="10" max="10" width="19" style="15" bestFit="1" customWidth="1" collapsed="1"/>
    <col min="11" max="12" width="19" style="15" customWidth="1" collapsed="1"/>
    <col min="13" max="13" width="43" style="15" bestFit="1" customWidth="1" collapsed="1"/>
    <col min="14" max="19" width="19" style="15" customWidth="1" collapsed="1"/>
    <col min="20" max="16384" width="9.140625" style="15" collapsed="1"/>
  </cols>
  <sheetData>
    <row r="1" spans="1:19" x14ac:dyDescent="0.25">
      <c r="A1" s="9" t="s">
        <v>0</v>
      </c>
      <c r="B1" s="9" t="s">
        <v>18</v>
      </c>
      <c r="C1" s="9" t="s">
        <v>69</v>
      </c>
      <c r="D1" s="9" t="s">
        <v>1102</v>
      </c>
      <c r="E1" s="9" t="s">
        <v>1113</v>
      </c>
      <c r="F1" s="9" t="s">
        <v>1115</v>
      </c>
      <c r="G1" s="9" t="s">
        <v>409</v>
      </c>
      <c r="H1" s="9" t="s">
        <v>965</v>
      </c>
      <c r="I1" s="9" t="s">
        <v>967</v>
      </c>
      <c r="J1" s="9" t="s">
        <v>969</v>
      </c>
      <c r="K1" s="9" t="s">
        <v>971</v>
      </c>
      <c r="L1" s="19" t="s">
        <v>805</v>
      </c>
      <c r="M1" s="9" t="s">
        <v>1116</v>
      </c>
      <c r="N1" s="9" t="s">
        <v>1145</v>
      </c>
      <c r="O1" s="19" t="s">
        <v>805</v>
      </c>
      <c r="P1" s="9" t="s">
        <v>974</v>
      </c>
      <c r="Q1" s="9" t="s">
        <v>976</v>
      </c>
      <c r="R1" s="9" t="s">
        <v>977</v>
      </c>
      <c r="S1" s="19" t="s">
        <v>805</v>
      </c>
    </row>
    <row r="2" spans="1:19" x14ac:dyDescent="0.25">
      <c r="A2" s="2" t="s">
        <v>920</v>
      </c>
      <c r="B2" s="2">
        <v>1</v>
      </c>
      <c r="C2" s="2" t="s">
        <v>3</v>
      </c>
      <c r="D2" s="2" t="s">
        <v>3</v>
      </c>
      <c r="E2" s="2" t="s">
        <v>1114</v>
      </c>
      <c r="F2" s="2" t="s">
        <v>961</v>
      </c>
      <c r="G2" s="14" t="s">
        <v>964</v>
      </c>
      <c r="H2" s="2" t="s">
        <v>966</v>
      </c>
      <c r="I2" s="2" t="s">
        <v>968</v>
      </c>
      <c r="J2" s="2" t="s">
        <v>970</v>
      </c>
      <c r="K2" s="2" t="s">
        <v>308</v>
      </c>
      <c r="L2" s="2" t="s">
        <v>972</v>
      </c>
      <c r="M2" s="12" t="s">
        <v>1117</v>
      </c>
      <c r="N2" s="12" t="s">
        <v>308</v>
      </c>
      <c r="O2" s="2" t="s">
        <v>973</v>
      </c>
      <c r="P2" s="2" t="s">
        <v>975</v>
      </c>
      <c r="Q2" s="2" t="s">
        <v>308</v>
      </c>
      <c r="R2" s="2" t="s">
        <v>308</v>
      </c>
      <c r="S2" s="2" t="s">
        <v>950</v>
      </c>
    </row>
    <row r="3" spans="1:19" x14ac:dyDescent="0.25">
      <c r="A3" s="2" t="s">
        <v>921</v>
      </c>
      <c r="B3" s="2">
        <v>1</v>
      </c>
      <c r="C3" s="2" t="s">
        <v>3</v>
      </c>
      <c r="D3" s="2" t="s">
        <v>3</v>
      </c>
      <c r="E3" s="2" t="s">
        <v>1114</v>
      </c>
      <c r="F3" s="2" t="s">
        <v>961</v>
      </c>
      <c r="G3" s="14" t="s">
        <v>964</v>
      </c>
      <c r="H3" s="2" t="s">
        <v>966</v>
      </c>
      <c r="I3" s="2" t="s">
        <v>968</v>
      </c>
      <c r="J3" s="2" t="s">
        <v>970</v>
      </c>
      <c r="K3" s="2" t="s">
        <v>308</v>
      </c>
      <c r="L3" s="2" t="s">
        <v>972</v>
      </c>
      <c r="M3" s="12" t="s">
        <v>1117</v>
      </c>
      <c r="N3" s="12" t="s">
        <v>308</v>
      </c>
      <c r="O3" s="2" t="s">
        <v>973</v>
      </c>
      <c r="P3" s="2" t="s">
        <v>975</v>
      </c>
      <c r="Q3" s="2" t="s">
        <v>308</v>
      </c>
      <c r="R3" s="2" t="s">
        <v>308</v>
      </c>
      <c r="S3" s="2" t="s">
        <v>950</v>
      </c>
    </row>
    <row r="4" spans="1:19" x14ac:dyDescent="0.25">
      <c r="A4" s="2" t="s">
        <v>914</v>
      </c>
      <c r="B4" s="2">
        <v>1</v>
      </c>
      <c r="C4" s="2" t="s">
        <v>3</v>
      </c>
      <c r="D4" s="2" t="s">
        <v>3</v>
      </c>
      <c r="E4" s="2" t="s">
        <v>1114</v>
      </c>
      <c r="F4" s="2" t="s">
        <v>961</v>
      </c>
      <c r="G4" s="14" t="s">
        <v>964</v>
      </c>
      <c r="H4" s="2" t="s">
        <v>966</v>
      </c>
      <c r="I4" s="2" t="s">
        <v>968</v>
      </c>
      <c r="J4" s="2" t="s">
        <v>970</v>
      </c>
      <c r="K4" s="2" t="s">
        <v>308</v>
      </c>
      <c r="L4" s="2" t="s">
        <v>972</v>
      </c>
      <c r="M4" s="12" t="s">
        <v>1117</v>
      </c>
      <c r="N4" s="12" t="s">
        <v>308</v>
      </c>
      <c r="O4" s="2" t="s">
        <v>973</v>
      </c>
      <c r="P4" s="2" t="s">
        <v>975</v>
      </c>
      <c r="Q4" s="2" t="s">
        <v>308</v>
      </c>
      <c r="R4" s="2" t="s">
        <v>308</v>
      </c>
      <c r="S4" s="2" t="s">
        <v>950</v>
      </c>
    </row>
    <row r="5" spans="1:19" x14ac:dyDescent="0.25">
      <c r="A5" s="2" t="s">
        <v>922</v>
      </c>
      <c r="B5" s="2">
        <v>1</v>
      </c>
      <c r="C5" s="2" t="s">
        <v>3</v>
      </c>
      <c r="D5" s="2" t="s">
        <v>3</v>
      </c>
      <c r="E5" s="2" t="s">
        <v>1114</v>
      </c>
      <c r="F5" s="2" t="s">
        <v>961</v>
      </c>
      <c r="G5" s="14" t="s">
        <v>964</v>
      </c>
      <c r="H5" s="2" t="s">
        <v>966</v>
      </c>
      <c r="I5" s="2" t="s">
        <v>968</v>
      </c>
      <c r="J5" s="2" t="s">
        <v>970</v>
      </c>
      <c r="K5" s="2" t="s">
        <v>308</v>
      </c>
      <c r="L5" s="2" t="s">
        <v>972</v>
      </c>
      <c r="M5" s="12" t="s">
        <v>1117</v>
      </c>
      <c r="N5" s="12" t="s">
        <v>308</v>
      </c>
      <c r="O5" s="2" t="s">
        <v>973</v>
      </c>
      <c r="P5" s="2" t="s">
        <v>975</v>
      </c>
      <c r="Q5" s="2" t="s">
        <v>308</v>
      </c>
      <c r="R5" s="2" t="s">
        <v>308</v>
      </c>
      <c r="S5" s="2" t="s">
        <v>950</v>
      </c>
    </row>
    <row r="6" spans="1:19" x14ac:dyDescent="0.25">
      <c r="A6" s="2" t="s">
        <v>1121</v>
      </c>
      <c r="B6" s="2">
        <v>1</v>
      </c>
      <c r="C6" s="2" t="s">
        <v>3</v>
      </c>
      <c r="D6" s="2" t="s">
        <v>3</v>
      </c>
      <c r="E6" s="2" t="s">
        <v>1114</v>
      </c>
      <c r="F6" s="2" t="s">
        <v>961</v>
      </c>
      <c r="G6" s="14" t="s">
        <v>964</v>
      </c>
      <c r="H6" s="2" t="s">
        <v>966</v>
      </c>
      <c r="I6" s="2" t="s">
        <v>968</v>
      </c>
      <c r="J6" s="2" t="s">
        <v>970</v>
      </c>
      <c r="K6" s="2" t="s">
        <v>308</v>
      </c>
      <c r="L6" s="2" t="s">
        <v>972</v>
      </c>
      <c r="M6" s="12" t="s">
        <v>1117</v>
      </c>
      <c r="N6" s="12" t="s">
        <v>308</v>
      </c>
      <c r="O6" s="2" t="s">
        <v>973</v>
      </c>
      <c r="P6" s="2" t="s">
        <v>975</v>
      </c>
      <c r="Q6" s="2" t="s">
        <v>308</v>
      </c>
      <c r="R6" s="2" t="s">
        <v>308</v>
      </c>
      <c r="S6" s="2" t="s">
        <v>950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"/>
  <sheetViews>
    <sheetView zoomScale="85" zoomScaleNormal="85" workbookViewId="0">
      <selection activeCell="A3" sqref="A3"/>
    </sheetView>
  </sheetViews>
  <sheetFormatPr defaultRowHeight="15" x14ac:dyDescent="0.25"/>
  <cols>
    <col min="1" max="1" width="6.140625" style="15" bestFit="1" customWidth="1" collapsed="1"/>
    <col min="2" max="2" width="9.140625" style="15" collapsed="1"/>
    <col min="3" max="3" width="10.42578125" style="15" bestFit="1" customWidth="1" collapsed="1"/>
    <col min="4" max="4" width="18.85546875" style="15" bestFit="1" customWidth="1" collapsed="1"/>
    <col min="5" max="5" width="19.85546875" style="15" bestFit="1" customWidth="1" collapsed="1"/>
    <col min="6" max="6" width="14" style="15" bestFit="1" customWidth="1" collapsed="1"/>
    <col min="7" max="7" width="21.42578125" style="15" bestFit="1" customWidth="1" collapsed="1"/>
    <col min="8" max="8" width="69.28515625" style="15" bestFit="1" customWidth="1" collapsed="1"/>
    <col min="9" max="14" width="19" style="15" customWidth="1" collapsed="1"/>
    <col min="15" max="16384" width="9.140625" style="15" collapsed="1"/>
  </cols>
  <sheetData>
    <row r="1" spans="1:14" x14ac:dyDescent="0.25">
      <c r="A1" s="9" t="s">
        <v>0</v>
      </c>
      <c r="B1" s="9" t="s">
        <v>18</v>
      </c>
      <c r="C1" s="9" t="s">
        <v>69</v>
      </c>
      <c r="D1" s="9" t="s">
        <v>1130</v>
      </c>
      <c r="E1" s="9" t="s">
        <v>409</v>
      </c>
      <c r="F1" s="9" t="s">
        <v>1131</v>
      </c>
      <c r="G1" s="9" t="s">
        <v>1133</v>
      </c>
      <c r="H1" s="9" t="s">
        <v>1134</v>
      </c>
      <c r="I1" s="9" t="s">
        <v>1137</v>
      </c>
      <c r="J1" s="19" t="s">
        <v>805</v>
      </c>
      <c r="K1" s="9" t="s">
        <v>1139</v>
      </c>
      <c r="L1" s="9" t="s">
        <v>56</v>
      </c>
      <c r="M1" s="9" t="s">
        <v>1140</v>
      </c>
      <c r="N1" s="19" t="s">
        <v>805</v>
      </c>
    </row>
    <row r="2" spans="1:14" x14ac:dyDescent="0.25">
      <c r="A2" s="2" t="s">
        <v>914</v>
      </c>
      <c r="B2" s="2">
        <v>1</v>
      </c>
      <c r="C2" s="2" t="s">
        <v>3</v>
      </c>
      <c r="D2" s="2" t="s">
        <v>3</v>
      </c>
      <c r="E2" s="14" t="s">
        <v>964</v>
      </c>
      <c r="F2" s="2" t="s">
        <v>1132</v>
      </c>
      <c r="G2" s="2" t="s">
        <v>970</v>
      </c>
      <c r="H2" s="12" t="s">
        <v>1135</v>
      </c>
      <c r="I2" s="12"/>
      <c r="J2" s="2"/>
      <c r="K2" s="2"/>
      <c r="L2" s="2"/>
      <c r="M2" s="2"/>
      <c r="N2" s="2"/>
    </row>
    <row r="3" spans="1:14" x14ac:dyDescent="0.25">
      <c r="A3" s="2" t="s">
        <v>914</v>
      </c>
      <c r="B3" s="2">
        <v>2</v>
      </c>
      <c r="C3" s="2"/>
      <c r="D3" s="2"/>
      <c r="E3" s="14"/>
      <c r="F3" s="2"/>
      <c r="G3" s="2"/>
      <c r="H3" s="12" t="s">
        <v>1136</v>
      </c>
      <c r="I3" s="12" t="s">
        <v>308</v>
      </c>
      <c r="J3" s="2" t="s">
        <v>1138</v>
      </c>
      <c r="K3" s="2" t="s">
        <v>308</v>
      </c>
      <c r="L3" s="2" t="s">
        <v>308</v>
      </c>
      <c r="M3" s="2" t="s">
        <v>308</v>
      </c>
      <c r="N3" s="2" t="s">
        <v>950</v>
      </c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3"/>
  <sheetViews>
    <sheetView zoomScale="85" zoomScaleNormal="85" workbookViewId="0">
      <selection activeCell="K12" sqref="K12"/>
    </sheetView>
  </sheetViews>
  <sheetFormatPr defaultRowHeight="15" x14ac:dyDescent="0.25"/>
  <cols>
    <col min="1" max="1" width="6.140625" style="15" bestFit="1" customWidth="1" collapsed="1"/>
    <col min="2" max="4" width="9.140625" style="15" collapsed="1"/>
    <col min="5" max="5" width="16.140625" style="15" bestFit="1" customWidth="1" collapsed="1"/>
    <col min="6" max="6" width="10.42578125" style="15" bestFit="1" customWidth="1" collapsed="1"/>
    <col min="7" max="8" width="10.42578125" style="15" customWidth="1" collapsed="1"/>
    <col min="9" max="9" width="18.7109375" style="15" customWidth="1" collapsed="1"/>
    <col min="10" max="10" width="11.7109375" style="15" bestFit="1" customWidth="1" collapsed="1"/>
    <col min="11" max="11" width="16.140625" style="15" bestFit="1" customWidth="1" collapsed="1"/>
    <col min="12" max="12" width="14.42578125" style="15" bestFit="1" customWidth="1" collapsed="1"/>
    <col min="13" max="13" width="16.5703125" style="15" bestFit="1" customWidth="1" collapsed="1"/>
    <col min="14" max="16384" width="9.140625" style="15" collapsed="1"/>
  </cols>
  <sheetData>
    <row r="1" spans="1:13" x14ac:dyDescent="0.25">
      <c r="A1" s="9" t="s">
        <v>0</v>
      </c>
      <c r="B1" s="9" t="s">
        <v>18</v>
      </c>
      <c r="C1" s="9" t="s">
        <v>69</v>
      </c>
      <c r="D1" s="9" t="s">
        <v>958</v>
      </c>
      <c r="E1" s="9" t="s">
        <v>1071</v>
      </c>
      <c r="F1" s="9" t="s">
        <v>1072</v>
      </c>
      <c r="G1" s="5" t="s">
        <v>959</v>
      </c>
      <c r="H1" s="5" t="s">
        <v>959</v>
      </c>
      <c r="I1" s="9" t="s">
        <v>95</v>
      </c>
      <c r="J1" s="9" t="s">
        <v>59</v>
      </c>
      <c r="K1" s="9" t="s">
        <v>960</v>
      </c>
      <c r="L1" s="9" t="s">
        <v>56</v>
      </c>
      <c r="M1" s="9" t="s">
        <v>353</v>
      </c>
    </row>
    <row r="2" spans="1:13" x14ac:dyDescent="0.25">
      <c r="A2" s="2" t="s">
        <v>918</v>
      </c>
      <c r="B2" s="2">
        <v>1</v>
      </c>
      <c r="C2" s="2" t="s">
        <v>3</v>
      </c>
      <c r="D2" s="2" t="s">
        <v>3</v>
      </c>
      <c r="E2" s="2" t="s">
        <v>3</v>
      </c>
      <c r="F2" s="2" t="s">
        <v>3</v>
      </c>
      <c r="G2" s="2"/>
      <c r="H2" s="2"/>
      <c r="I2" s="2" t="s">
        <v>1630</v>
      </c>
      <c r="J2" s="2" t="s">
        <v>3</v>
      </c>
      <c r="K2" s="2" t="s">
        <v>3</v>
      </c>
      <c r="L2" s="2" t="s">
        <v>3</v>
      </c>
      <c r="M2" s="2" t="s">
        <v>3</v>
      </c>
    </row>
    <row r="3" spans="1:13" x14ac:dyDescent="0.25">
      <c r="A3" s="2" t="s">
        <v>919</v>
      </c>
      <c r="B3" s="2">
        <v>1</v>
      </c>
      <c r="C3" s="2" t="s">
        <v>3</v>
      </c>
      <c r="D3" s="2" t="s">
        <v>3</v>
      </c>
      <c r="E3" s="2" t="s">
        <v>3</v>
      </c>
      <c r="F3" s="2" t="s">
        <v>3</v>
      </c>
      <c r="G3" s="2"/>
      <c r="H3" s="2"/>
      <c r="I3" s="2" t="s">
        <v>1630</v>
      </c>
      <c r="J3" s="2" t="s">
        <v>3</v>
      </c>
      <c r="K3" s="2" t="s">
        <v>3</v>
      </c>
      <c r="L3" s="2" t="s">
        <v>3</v>
      </c>
      <c r="M3" s="2" t="s">
        <v>3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M21"/>
  <sheetViews>
    <sheetView topLeftCell="AA1" zoomScale="85" zoomScaleNormal="85" workbookViewId="0">
      <selection activeCell="AC1" sqref="AC1:AF2"/>
    </sheetView>
  </sheetViews>
  <sheetFormatPr defaultRowHeight="15" x14ac:dyDescent="0.25"/>
  <cols>
    <col min="1" max="1" width="6.140625" style="1" bestFit="1" customWidth="1" collapsed="1"/>
    <col min="2" max="2" width="8.7109375" style="1" bestFit="1" customWidth="1" collapsed="1"/>
    <col min="3" max="3" width="16.140625" style="1" bestFit="1" customWidth="1" collapsed="1"/>
    <col min="4" max="4" width="25" style="1" bestFit="1" customWidth="1" collapsed="1"/>
    <col min="5" max="6" width="26.5703125" style="1" bestFit="1" customWidth="1" collapsed="1"/>
    <col min="7" max="7" width="20.5703125" style="1" bestFit="1" customWidth="1" collapsed="1"/>
    <col min="8" max="8" width="21.5703125" style="1" bestFit="1" customWidth="1" collapsed="1"/>
    <col min="9" max="9" width="26.5703125" style="1" customWidth="1" collapsed="1"/>
    <col min="10" max="10" width="27" style="1" bestFit="1" customWidth="1" collapsed="1"/>
    <col min="11" max="17" width="27" style="1" customWidth="1" collapsed="1"/>
    <col min="18" max="18" width="21.85546875" style="1" bestFit="1" customWidth="1" collapsed="1"/>
    <col min="19" max="19" width="21.42578125" style="1" bestFit="1" customWidth="1" collapsed="1"/>
    <col min="20" max="20" width="26" style="1" bestFit="1" customWidth="1" collapsed="1"/>
    <col min="21" max="21" width="24.85546875" style="1" bestFit="1" customWidth="1" collapsed="1"/>
    <col min="22" max="22" width="21.5703125" style="1" bestFit="1" customWidth="1" collapsed="1"/>
    <col min="23" max="23" width="20.7109375" style="1" bestFit="1" customWidth="1" collapsed="1"/>
    <col min="24" max="24" width="18" style="1" bestFit="1" customWidth="1" collapsed="1"/>
    <col min="25" max="25" width="18" style="1" customWidth="1" collapsed="1"/>
    <col min="26" max="26" width="16.7109375" style="1" bestFit="1" customWidth="1" collapsed="1"/>
    <col min="27" max="27" width="20.140625" style="1" bestFit="1" customWidth="1" collapsed="1"/>
    <col min="28" max="28" width="27" style="1" bestFit="1" customWidth="1" collapsed="1"/>
    <col min="29" max="29" width="27" style="1" customWidth="1" collapsed="1"/>
    <col min="30" max="30" width="16" style="1" bestFit="1" customWidth="1" collapsed="1"/>
    <col min="31" max="31" width="17.5703125" style="1" bestFit="1" customWidth="1" collapsed="1"/>
    <col min="32" max="32" width="22.85546875" style="1" bestFit="1" customWidth="1" collapsed="1"/>
    <col min="33" max="33" width="14.42578125" style="1" bestFit="1" customWidth="1" collapsed="1"/>
    <col min="34" max="35" width="9.140625" style="1" collapsed="1"/>
    <col min="36" max="36" width="24" style="1" bestFit="1" customWidth="1" collapsed="1"/>
    <col min="37" max="16384" width="9.140625" style="1" collapsed="1"/>
  </cols>
  <sheetData>
    <row r="1" spans="1:39" x14ac:dyDescent="0.25">
      <c r="A1" s="9" t="s">
        <v>0</v>
      </c>
      <c r="B1" s="5" t="s">
        <v>18</v>
      </c>
      <c r="C1" s="5" t="s">
        <v>62</v>
      </c>
      <c r="D1" s="5" t="s">
        <v>1413</v>
      </c>
      <c r="E1" s="5" t="s">
        <v>1414</v>
      </c>
      <c r="F1" s="5" t="s">
        <v>1524</v>
      </c>
      <c r="G1" s="5" t="s">
        <v>1525</v>
      </c>
      <c r="H1" s="5" t="s">
        <v>1526</v>
      </c>
      <c r="I1" s="5" t="s">
        <v>1415</v>
      </c>
      <c r="J1" s="5" t="s">
        <v>1527</v>
      </c>
      <c r="K1" s="119" t="s">
        <v>1528</v>
      </c>
      <c r="L1" s="119" t="s">
        <v>1529</v>
      </c>
      <c r="M1" s="119" t="s">
        <v>1530</v>
      </c>
      <c r="N1" s="119" t="s">
        <v>1531</v>
      </c>
      <c r="O1" s="119" t="s">
        <v>1532</v>
      </c>
      <c r="P1" s="119" t="s">
        <v>1533</v>
      </c>
      <c r="Q1" s="119" t="s">
        <v>1534</v>
      </c>
      <c r="R1" s="5" t="s">
        <v>1248</v>
      </c>
      <c r="S1" s="5" t="s">
        <v>1250</v>
      </c>
      <c r="T1" s="5" t="s">
        <v>1252</v>
      </c>
      <c r="U1" s="5" t="s">
        <v>1254</v>
      </c>
      <c r="V1" s="5" t="s">
        <v>1256</v>
      </c>
      <c r="W1" s="5" t="s">
        <v>1258</v>
      </c>
      <c r="X1" s="5" t="s">
        <v>1260</v>
      </c>
      <c r="Y1" s="5" t="s">
        <v>1262</v>
      </c>
      <c r="Z1" s="5" t="s">
        <v>1264</v>
      </c>
      <c r="AA1" s="5" t="s">
        <v>1266</v>
      </c>
      <c r="AB1" s="5" t="s">
        <v>1267</v>
      </c>
      <c r="AC1" s="5" t="s">
        <v>1542</v>
      </c>
      <c r="AD1" s="5" t="s">
        <v>805</v>
      </c>
      <c r="AE1" s="5" t="s">
        <v>1543</v>
      </c>
      <c r="AF1" s="5" t="s">
        <v>805</v>
      </c>
      <c r="AG1" s="5" t="s">
        <v>837</v>
      </c>
      <c r="AH1" s="5" t="s">
        <v>1544</v>
      </c>
      <c r="AI1" s="9" t="s">
        <v>56</v>
      </c>
      <c r="AJ1" s="9" t="s">
        <v>805</v>
      </c>
      <c r="AK1" s="5" t="s">
        <v>1545</v>
      </c>
      <c r="AL1" s="5" t="s">
        <v>1546</v>
      </c>
      <c r="AM1" s="9" t="s">
        <v>805</v>
      </c>
    </row>
    <row r="2" spans="1:39" s="79" customFormat="1" x14ac:dyDescent="0.25">
      <c r="A2" s="73" t="s">
        <v>1169</v>
      </c>
      <c r="B2" s="74">
        <v>1</v>
      </c>
      <c r="C2" s="73"/>
      <c r="D2" s="73"/>
      <c r="E2" s="73"/>
      <c r="F2" s="73" t="s">
        <v>60</v>
      </c>
      <c r="G2" s="73" t="s">
        <v>103</v>
      </c>
      <c r="H2" s="73" t="s">
        <v>1548</v>
      </c>
      <c r="I2" s="73"/>
      <c r="J2" s="73" t="s">
        <v>107</v>
      </c>
      <c r="K2" s="73" t="s">
        <v>3</v>
      </c>
      <c r="L2" s="73" t="s">
        <v>1549</v>
      </c>
      <c r="M2" s="73" t="s">
        <v>970</v>
      </c>
      <c r="N2" s="73" t="s">
        <v>1550</v>
      </c>
      <c r="O2" s="73" t="s">
        <v>1346</v>
      </c>
      <c r="P2" s="73" t="s">
        <v>1294</v>
      </c>
      <c r="Q2" s="67" t="s">
        <v>1551</v>
      </c>
      <c r="R2" s="73"/>
      <c r="S2" s="73"/>
      <c r="T2" s="73"/>
      <c r="U2" s="73"/>
      <c r="V2" s="73"/>
      <c r="W2" s="73"/>
      <c r="X2" s="73"/>
      <c r="Y2" s="108"/>
      <c r="Z2" s="108"/>
      <c r="AA2" s="73"/>
      <c r="AB2" s="73"/>
      <c r="AC2" s="73" t="s">
        <v>3</v>
      </c>
      <c r="AD2" s="73" t="s">
        <v>1547</v>
      </c>
      <c r="AE2" s="73" t="s">
        <v>3</v>
      </c>
      <c r="AF2" s="73" t="s">
        <v>1419</v>
      </c>
      <c r="AG2" s="73" t="s">
        <v>3</v>
      </c>
      <c r="AH2" s="73" t="s">
        <v>3</v>
      </c>
      <c r="AI2" s="73" t="s">
        <v>3</v>
      </c>
      <c r="AJ2" s="73" t="s">
        <v>1274</v>
      </c>
      <c r="AK2" s="73"/>
      <c r="AL2" s="73"/>
      <c r="AM2" s="73"/>
    </row>
    <row r="3" spans="1:39" s="79" customFormat="1" x14ac:dyDescent="0.25">
      <c r="A3" s="73" t="s">
        <v>1170</v>
      </c>
      <c r="B3" s="74">
        <v>1</v>
      </c>
      <c r="C3" s="73"/>
      <c r="D3" s="73"/>
      <c r="E3" s="73"/>
      <c r="F3" s="73" t="s">
        <v>60</v>
      </c>
      <c r="G3" s="73" t="s">
        <v>103</v>
      </c>
      <c r="H3" s="73" t="s">
        <v>1548</v>
      </c>
      <c r="I3" s="73"/>
      <c r="J3" s="73" t="s">
        <v>107</v>
      </c>
      <c r="K3" s="73" t="s">
        <v>3</v>
      </c>
      <c r="L3" s="73" t="s">
        <v>1549</v>
      </c>
      <c r="M3" s="73" t="s">
        <v>970</v>
      </c>
      <c r="N3" s="73" t="s">
        <v>1550</v>
      </c>
      <c r="O3" s="73" t="s">
        <v>1346</v>
      </c>
      <c r="P3" s="73" t="s">
        <v>1294</v>
      </c>
      <c r="Q3" s="67" t="s">
        <v>1551</v>
      </c>
      <c r="R3" s="73"/>
      <c r="S3" s="73"/>
      <c r="T3" s="73"/>
      <c r="U3" s="73"/>
      <c r="V3" s="73"/>
      <c r="W3" s="73"/>
      <c r="X3" s="73"/>
      <c r="Y3" s="108"/>
      <c r="Z3" s="108"/>
      <c r="AA3" s="73"/>
      <c r="AB3" s="73"/>
      <c r="AC3" s="73" t="s">
        <v>3</v>
      </c>
      <c r="AD3" s="73" t="s">
        <v>1547</v>
      </c>
      <c r="AE3" s="73" t="s">
        <v>3</v>
      </c>
      <c r="AF3" s="73" t="s">
        <v>1419</v>
      </c>
      <c r="AG3" s="73" t="s">
        <v>3</v>
      </c>
      <c r="AH3" s="73" t="s">
        <v>3</v>
      </c>
      <c r="AI3" s="73" t="s">
        <v>3</v>
      </c>
      <c r="AJ3" s="73" t="s">
        <v>1274</v>
      </c>
      <c r="AK3" s="73"/>
      <c r="AL3" s="73"/>
      <c r="AM3" s="73"/>
    </row>
    <row r="4" spans="1:39" s="79" customFormat="1" x14ac:dyDescent="0.25">
      <c r="A4" s="73" t="s">
        <v>1171</v>
      </c>
      <c r="B4" s="74">
        <v>1</v>
      </c>
      <c r="C4" s="73"/>
      <c r="D4" s="73"/>
      <c r="E4" s="73"/>
      <c r="F4" s="73" t="s">
        <v>60</v>
      </c>
      <c r="G4" s="73" t="s">
        <v>103</v>
      </c>
      <c r="H4" s="73" t="s">
        <v>1548</v>
      </c>
      <c r="I4" s="73"/>
      <c r="J4" s="73" t="s">
        <v>107</v>
      </c>
      <c r="K4" s="73" t="s">
        <v>3</v>
      </c>
      <c r="L4" s="73" t="s">
        <v>1549</v>
      </c>
      <c r="M4" s="73" t="s">
        <v>970</v>
      </c>
      <c r="N4" s="73" t="s">
        <v>1550</v>
      </c>
      <c r="O4" s="73" t="s">
        <v>1346</v>
      </c>
      <c r="P4" s="73" t="s">
        <v>1294</v>
      </c>
      <c r="Q4" s="67" t="s">
        <v>1551</v>
      </c>
      <c r="R4" s="73"/>
      <c r="S4" s="73"/>
      <c r="T4" s="73"/>
      <c r="U4" s="73"/>
      <c r="V4" s="73"/>
      <c r="W4" s="73"/>
      <c r="X4" s="73"/>
      <c r="Y4" s="108"/>
      <c r="Z4" s="108"/>
      <c r="AA4" s="73"/>
      <c r="AB4" s="73"/>
      <c r="AC4" s="73" t="s">
        <v>3</v>
      </c>
      <c r="AD4" s="73" t="s">
        <v>1547</v>
      </c>
      <c r="AE4" s="73" t="s">
        <v>3</v>
      </c>
      <c r="AF4" s="73" t="s">
        <v>1419</v>
      </c>
      <c r="AG4" s="73" t="s">
        <v>3</v>
      </c>
      <c r="AH4" s="73" t="s">
        <v>3</v>
      </c>
      <c r="AI4" s="73" t="s">
        <v>3</v>
      </c>
      <c r="AJ4" s="73" t="s">
        <v>1274</v>
      </c>
      <c r="AK4" s="73"/>
      <c r="AL4" s="73"/>
      <c r="AM4" s="73"/>
    </row>
    <row r="5" spans="1:39" s="79" customFormat="1" x14ac:dyDescent="0.25">
      <c r="A5" s="73" t="s">
        <v>1172</v>
      </c>
      <c r="B5" s="74">
        <v>1</v>
      </c>
      <c r="C5" s="73"/>
      <c r="D5" s="73"/>
      <c r="E5" s="73"/>
      <c r="F5" s="73" t="s">
        <v>60</v>
      </c>
      <c r="G5" s="73" t="s">
        <v>103</v>
      </c>
      <c r="H5" s="73" t="s">
        <v>1548</v>
      </c>
      <c r="I5" s="73"/>
      <c r="J5" s="73" t="s">
        <v>107</v>
      </c>
      <c r="K5" s="73" t="s">
        <v>3</v>
      </c>
      <c r="L5" s="73" t="s">
        <v>1549</v>
      </c>
      <c r="M5" s="73" t="s">
        <v>970</v>
      </c>
      <c r="N5" s="73" t="s">
        <v>1550</v>
      </c>
      <c r="O5" s="73" t="s">
        <v>1346</v>
      </c>
      <c r="P5" s="73" t="s">
        <v>1294</v>
      </c>
      <c r="Q5" s="67" t="s">
        <v>1551</v>
      </c>
      <c r="R5" s="73"/>
      <c r="S5" s="73"/>
      <c r="T5" s="73"/>
      <c r="U5" s="73"/>
      <c r="V5" s="73"/>
      <c r="W5" s="73"/>
      <c r="X5" s="73"/>
      <c r="Y5" s="108"/>
      <c r="Z5" s="108"/>
      <c r="AA5" s="73"/>
      <c r="AB5" s="73"/>
      <c r="AC5" s="73" t="s">
        <v>3</v>
      </c>
      <c r="AD5" s="73" t="s">
        <v>1547</v>
      </c>
      <c r="AE5" s="73" t="s">
        <v>3</v>
      </c>
      <c r="AF5" s="73" t="s">
        <v>1419</v>
      </c>
      <c r="AG5" s="73" t="s">
        <v>3</v>
      </c>
      <c r="AH5" s="73" t="s">
        <v>3</v>
      </c>
      <c r="AI5" s="73" t="s">
        <v>3</v>
      </c>
      <c r="AJ5" s="73" t="s">
        <v>1274</v>
      </c>
      <c r="AK5" s="73"/>
      <c r="AL5" s="73"/>
      <c r="AM5" s="73"/>
    </row>
    <row r="6" spans="1:39" s="79" customFormat="1" x14ac:dyDescent="0.25">
      <c r="A6" s="73" t="s">
        <v>1173</v>
      </c>
      <c r="B6" s="74">
        <v>1</v>
      </c>
      <c r="C6" s="73"/>
      <c r="D6" s="73"/>
      <c r="E6" s="73"/>
      <c r="F6" s="73" t="s">
        <v>60</v>
      </c>
      <c r="G6" s="73" t="s">
        <v>103</v>
      </c>
      <c r="H6" s="73" t="s">
        <v>1548</v>
      </c>
      <c r="I6" s="73"/>
      <c r="J6" s="73" t="s">
        <v>107</v>
      </c>
      <c r="K6" s="73" t="s">
        <v>3</v>
      </c>
      <c r="L6" s="73" t="s">
        <v>1549</v>
      </c>
      <c r="M6" s="73" t="s">
        <v>970</v>
      </c>
      <c r="N6" s="73" t="s">
        <v>1550</v>
      </c>
      <c r="O6" s="73" t="s">
        <v>1346</v>
      </c>
      <c r="P6" s="73" t="s">
        <v>1294</v>
      </c>
      <c r="Q6" s="67" t="s">
        <v>1551</v>
      </c>
      <c r="R6" s="73"/>
      <c r="S6" s="73"/>
      <c r="T6" s="73"/>
      <c r="U6" s="73"/>
      <c r="V6" s="73"/>
      <c r="W6" s="73"/>
      <c r="X6" s="73"/>
      <c r="Y6" s="108"/>
      <c r="Z6" s="108"/>
      <c r="AA6" s="73"/>
      <c r="AB6" s="73"/>
      <c r="AC6" s="73" t="s">
        <v>3</v>
      </c>
      <c r="AD6" s="73" t="s">
        <v>1547</v>
      </c>
      <c r="AE6" s="73" t="s">
        <v>3</v>
      </c>
      <c r="AF6" s="73" t="s">
        <v>1419</v>
      </c>
      <c r="AG6" s="73" t="s">
        <v>3</v>
      </c>
      <c r="AH6" s="73" t="s">
        <v>3</v>
      </c>
      <c r="AI6" s="73" t="s">
        <v>3</v>
      </c>
      <c r="AJ6" s="73" t="s">
        <v>1274</v>
      </c>
      <c r="AK6" s="73"/>
      <c r="AL6" s="73"/>
      <c r="AM6" s="73"/>
    </row>
    <row r="7" spans="1:39" s="79" customFormat="1" x14ac:dyDescent="0.25">
      <c r="A7" s="73" t="s">
        <v>1227</v>
      </c>
      <c r="B7" s="74">
        <v>1</v>
      </c>
      <c r="C7" s="73"/>
      <c r="D7" s="73"/>
      <c r="E7" s="73"/>
      <c r="F7" s="73" t="s">
        <v>60</v>
      </c>
      <c r="G7" s="73" t="s">
        <v>103</v>
      </c>
      <c r="H7" s="73" t="s">
        <v>1548</v>
      </c>
      <c r="I7" s="73"/>
      <c r="J7" s="73" t="s">
        <v>107</v>
      </c>
      <c r="K7" s="73" t="s">
        <v>3</v>
      </c>
      <c r="L7" s="73" t="s">
        <v>1549</v>
      </c>
      <c r="M7" s="73" t="s">
        <v>970</v>
      </c>
      <c r="N7" s="73" t="s">
        <v>1550</v>
      </c>
      <c r="O7" s="73" t="s">
        <v>1346</v>
      </c>
      <c r="P7" s="73" t="s">
        <v>1294</v>
      </c>
      <c r="Q7" s="67" t="s">
        <v>1551</v>
      </c>
      <c r="R7" s="73"/>
      <c r="S7" s="73"/>
      <c r="T7" s="73"/>
      <c r="U7" s="73"/>
      <c r="V7" s="73"/>
      <c r="W7" s="73"/>
      <c r="X7" s="73"/>
      <c r="Y7" s="108"/>
      <c r="Z7" s="108"/>
      <c r="AA7" s="73"/>
      <c r="AB7" s="73"/>
      <c r="AC7" s="73" t="s">
        <v>3</v>
      </c>
      <c r="AD7" s="73" t="s">
        <v>1547</v>
      </c>
      <c r="AE7" s="73" t="s">
        <v>3</v>
      </c>
      <c r="AF7" s="73" t="s">
        <v>1419</v>
      </c>
      <c r="AG7" s="73" t="s">
        <v>3</v>
      </c>
      <c r="AH7" s="73" t="s">
        <v>3</v>
      </c>
      <c r="AI7" s="73" t="s">
        <v>3</v>
      </c>
      <c r="AJ7" s="73" t="s">
        <v>1274</v>
      </c>
      <c r="AK7" s="73"/>
      <c r="AL7" s="73"/>
      <c r="AM7" s="73"/>
    </row>
    <row r="8" spans="1:39" s="79" customFormat="1" x14ac:dyDescent="0.25">
      <c r="A8" s="73" t="s">
        <v>1228</v>
      </c>
      <c r="B8" s="74">
        <v>1</v>
      </c>
      <c r="C8" s="73"/>
      <c r="D8" s="73"/>
      <c r="E8" s="73"/>
      <c r="F8" s="73" t="s">
        <v>60</v>
      </c>
      <c r="G8" s="73" t="s">
        <v>103</v>
      </c>
      <c r="H8" s="73" t="s">
        <v>1548</v>
      </c>
      <c r="I8" s="73"/>
      <c r="J8" s="73" t="s">
        <v>107</v>
      </c>
      <c r="K8" s="73" t="s">
        <v>3</v>
      </c>
      <c r="L8" s="73" t="s">
        <v>1549</v>
      </c>
      <c r="M8" s="73" t="s">
        <v>970</v>
      </c>
      <c r="N8" s="73" t="s">
        <v>1550</v>
      </c>
      <c r="O8" s="73" t="s">
        <v>1346</v>
      </c>
      <c r="P8" s="73" t="s">
        <v>1294</v>
      </c>
      <c r="Q8" s="67" t="s">
        <v>1551</v>
      </c>
      <c r="R8" s="73"/>
      <c r="S8" s="73"/>
      <c r="T8" s="73"/>
      <c r="U8" s="73"/>
      <c r="V8" s="73"/>
      <c r="W8" s="73"/>
      <c r="X8" s="73"/>
      <c r="Y8" s="108"/>
      <c r="Z8" s="108"/>
      <c r="AA8" s="73"/>
      <c r="AB8" s="73"/>
      <c r="AC8" s="73" t="s">
        <v>3</v>
      </c>
      <c r="AD8" s="73" t="s">
        <v>1547</v>
      </c>
      <c r="AE8" s="73" t="s">
        <v>3</v>
      </c>
      <c r="AF8" s="73" t="s">
        <v>1419</v>
      </c>
      <c r="AG8" s="73" t="s">
        <v>3</v>
      </c>
      <c r="AH8" s="73" t="s">
        <v>3</v>
      </c>
      <c r="AI8" s="73" t="s">
        <v>3</v>
      </c>
      <c r="AJ8" s="73" t="s">
        <v>1274</v>
      </c>
      <c r="AK8" s="73"/>
      <c r="AL8" s="73"/>
      <c r="AM8" s="73"/>
    </row>
    <row r="9" spans="1:39" s="79" customFormat="1" x14ac:dyDescent="0.25">
      <c r="A9" s="73" t="s">
        <v>1229</v>
      </c>
      <c r="B9" s="74">
        <v>1</v>
      </c>
      <c r="C9" s="73"/>
      <c r="D9" s="73"/>
      <c r="E9" s="73"/>
      <c r="F9" s="73" t="s">
        <v>60</v>
      </c>
      <c r="G9" s="73" t="s">
        <v>103</v>
      </c>
      <c r="H9" s="73" t="s">
        <v>1548</v>
      </c>
      <c r="I9" s="73"/>
      <c r="J9" s="73" t="s">
        <v>107</v>
      </c>
      <c r="K9" s="73" t="s">
        <v>3</v>
      </c>
      <c r="L9" s="73" t="s">
        <v>1549</v>
      </c>
      <c r="M9" s="73" t="s">
        <v>970</v>
      </c>
      <c r="N9" s="73" t="s">
        <v>1550</v>
      </c>
      <c r="O9" s="73" t="s">
        <v>1346</v>
      </c>
      <c r="P9" s="73" t="s">
        <v>1294</v>
      </c>
      <c r="Q9" s="67" t="s">
        <v>1551</v>
      </c>
      <c r="R9" s="73"/>
      <c r="S9" s="73"/>
      <c r="T9" s="73"/>
      <c r="U9" s="73"/>
      <c r="V9" s="73"/>
      <c r="W9" s="73"/>
      <c r="X9" s="73"/>
      <c r="Y9" s="108"/>
      <c r="Z9" s="108"/>
      <c r="AA9" s="73"/>
      <c r="AB9" s="73"/>
      <c r="AC9" s="73" t="s">
        <v>3</v>
      </c>
      <c r="AD9" s="73" t="s">
        <v>1547</v>
      </c>
      <c r="AE9" s="73" t="s">
        <v>3</v>
      </c>
      <c r="AF9" s="73" t="s">
        <v>1419</v>
      </c>
      <c r="AG9" s="73" t="s">
        <v>3</v>
      </c>
      <c r="AH9" s="73" t="s">
        <v>3</v>
      </c>
      <c r="AI9" s="73" t="s">
        <v>3</v>
      </c>
      <c r="AJ9" s="73" t="s">
        <v>1274</v>
      </c>
      <c r="AK9" s="73"/>
      <c r="AL9" s="73"/>
      <c r="AM9" s="73"/>
    </row>
    <row r="10" spans="1:39" s="79" customFormat="1" x14ac:dyDescent="0.25">
      <c r="A10" s="73" t="s">
        <v>1230</v>
      </c>
      <c r="B10" s="74">
        <v>1</v>
      </c>
      <c r="C10" s="73"/>
      <c r="D10" s="73"/>
      <c r="E10" s="73"/>
      <c r="F10" s="73" t="s">
        <v>60</v>
      </c>
      <c r="G10" s="73" t="s">
        <v>103</v>
      </c>
      <c r="H10" s="73" t="s">
        <v>1548</v>
      </c>
      <c r="I10" s="73"/>
      <c r="J10" s="73" t="s">
        <v>107</v>
      </c>
      <c r="K10" s="73" t="s">
        <v>3</v>
      </c>
      <c r="L10" s="73" t="s">
        <v>1549</v>
      </c>
      <c r="M10" s="73" t="s">
        <v>970</v>
      </c>
      <c r="N10" s="73" t="s">
        <v>1550</v>
      </c>
      <c r="O10" s="73" t="s">
        <v>1346</v>
      </c>
      <c r="P10" s="73" t="s">
        <v>1294</v>
      </c>
      <c r="Q10" s="67" t="s">
        <v>1551</v>
      </c>
      <c r="R10" s="73"/>
      <c r="S10" s="73"/>
      <c r="T10" s="73"/>
      <c r="U10" s="73"/>
      <c r="V10" s="73"/>
      <c r="W10" s="73"/>
      <c r="X10" s="73"/>
      <c r="Y10" s="108"/>
      <c r="Z10" s="108"/>
      <c r="AA10" s="73"/>
      <c r="AB10" s="73"/>
      <c r="AC10" s="73" t="s">
        <v>3</v>
      </c>
      <c r="AD10" s="73" t="s">
        <v>1547</v>
      </c>
      <c r="AE10" s="73" t="s">
        <v>3</v>
      </c>
      <c r="AF10" s="73" t="s">
        <v>1419</v>
      </c>
      <c r="AG10" s="73" t="s">
        <v>3</v>
      </c>
      <c r="AH10" s="73" t="s">
        <v>3</v>
      </c>
      <c r="AI10" s="73" t="s">
        <v>3</v>
      </c>
      <c r="AJ10" s="73" t="s">
        <v>1274</v>
      </c>
      <c r="AK10" s="73"/>
      <c r="AL10" s="73"/>
      <c r="AM10" s="73"/>
    </row>
    <row r="11" spans="1:39" s="79" customFormat="1" x14ac:dyDescent="0.25">
      <c r="A11" s="73" t="s">
        <v>1164</v>
      </c>
      <c r="B11" s="74">
        <v>1</v>
      </c>
      <c r="C11" s="73"/>
      <c r="D11" s="73" t="s">
        <v>60</v>
      </c>
      <c r="E11" s="79" t="s">
        <v>103</v>
      </c>
      <c r="G11" s="73"/>
      <c r="H11" s="73" t="s">
        <v>1548</v>
      </c>
      <c r="I11" s="79" t="s">
        <v>107</v>
      </c>
      <c r="J11" s="73"/>
      <c r="K11" s="73"/>
      <c r="L11" s="73"/>
      <c r="M11" s="73"/>
      <c r="N11" s="73"/>
      <c r="O11" s="73"/>
      <c r="P11" s="73"/>
      <c r="Q11" s="67"/>
      <c r="R11" s="73">
        <v>2</v>
      </c>
      <c r="S11" s="73">
        <v>3</v>
      </c>
      <c r="T11" s="73">
        <v>4</v>
      </c>
      <c r="U11" s="73">
        <v>5</v>
      </c>
      <c r="V11" s="73">
        <v>6</v>
      </c>
      <c r="W11" s="73">
        <v>7</v>
      </c>
      <c r="X11" s="73">
        <v>8</v>
      </c>
      <c r="Y11" s="108">
        <v>9</v>
      </c>
      <c r="Z11" s="108">
        <v>10</v>
      </c>
      <c r="AA11" s="73">
        <v>12</v>
      </c>
      <c r="AB11" s="73">
        <v>15</v>
      </c>
      <c r="AC11" s="73" t="s">
        <v>3</v>
      </c>
      <c r="AD11" s="73" t="s">
        <v>1547</v>
      </c>
      <c r="AE11" s="73" t="s">
        <v>3</v>
      </c>
      <c r="AF11" s="73" t="s">
        <v>1419</v>
      </c>
      <c r="AG11" s="73" t="s">
        <v>3</v>
      </c>
      <c r="AH11" s="73" t="s">
        <v>3</v>
      </c>
      <c r="AI11" s="73" t="s">
        <v>3</v>
      </c>
      <c r="AJ11" s="73" t="s">
        <v>1274</v>
      </c>
      <c r="AK11" s="73"/>
      <c r="AL11" s="73"/>
      <c r="AM11" s="73"/>
    </row>
    <row r="12" spans="1:39" s="79" customFormat="1" x14ac:dyDescent="0.25">
      <c r="A12" s="73" t="s">
        <v>1231</v>
      </c>
      <c r="B12" s="74">
        <v>1</v>
      </c>
      <c r="C12" s="73"/>
      <c r="D12" s="73" t="s">
        <v>60</v>
      </c>
      <c r="E12" s="79" t="s">
        <v>103</v>
      </c>
      <c r="G12" s="73"/>
      <c r="H12" s="73" t="s">
        <v>1548</v>
      </c>
      <c r="I12" s="79" t="s">
        <v>107</v>
      </c>
      <c r="J12" s="73"/>
      <c r="K12" s="73"/>
      <c r="L12" s="73"/>
      <c r="M12" s="73"/>
      <c r="N12" s="73"/>
      <c r="O12" s="73"/>
      <c r="P12" s="73"/>
      <c r="Q12" s="67"/>
      <c r="R12" s="73">
        <v>2</v>
      </c>
      <c r="S12" s="73">
        <v>3</v>
      </c>
      <c r="T12" s="73">
        <v>4</v>
      </c>
      <c r="U12" s="73">
        <v>5</v>
      </c>
      <c r="V12" s="73">
        <v>6</v>
      </c>
      <c r="W12" s="73">
        <v>7</v>
      </c>
      <c r="X12" s="73">
        <v>8</v>
      </c>
      <c r="Y12" s="108">
        <v>9</v>
      </c>
      <c r="Z12" s="108">
        <v>10</v>
      </c>
      <c r="AA12" s="73">
        <v>12</v>
      </c>
      <c r="AB12" s="73">
        <v>15</v>
      </c>
      <c r="AC12" s="73" t="s">
        <v>3</v>
      </c>
      <c r="AD12" s="73" t="s">
        <v>1547</v>
      </c>
      <c r="AE12" s="73" t="s">
        <v>3</v>
      </c>
      <c r="AF12" s="73" t="s">
        <v>1419</v>
      </c>
      <c r="AG12" s="73" t="s">
        <v>3</v>
      </c>
      <c r="AH12" s="73" t="s">
        <v>3</v>
      </c>
      <c r="AI12" s="73" t="s">
        <v>3</v>
      </c>
      <c r="AJ12" s="73" t="s">
        <v>1274</v>
      </c>
      <c r="AK12" s="73"/>
      <c r="AL12" s="73"/>
      <c r="AM12" s="73"/>
    </row>
    <row r="13" spans="1:39" s="79" customFormat="1" x14ac:dyDescent="0.25">
      <c r="A13" s="73" t="s">
        <v>1359</v>
      </c>
      <c r="B13" s="74">
        <v>1</v>
      </c>
      <c r="C13" s="73"/>
      <c r="D13" s="73" t="s">
        <v>60</v>
      </c>
      <c r="E13" s="79" t="s">
        <v>103</v>
      </c>
      <c r="G13" s="73"/>
      <c r="H13" s="73" t="s">
        <v>1548</v>
      </c>
      <c r="I13" s="79" t="s">
        <v>107</v>
      </c>
      <c r="J13" s="73"/>
      <c r="K13" s="73"/>
      <c r="L13" s="73"/>
      <c r="M13" s="73"/>
      <c r="N13" s="73"/>
      <c r="O13" s="73"/>
      <c r="P13" s="73"/>
      <c r="Q13" s="67"/>
      <c r="R13" s="73">
        <v>2</v>
      </c>
      <c r="S13" s="73">
        <v>3</v>
      </c>
      <c r="T13" s="73">
        <v>4</v>
      </c>
      <c r="U13" s="73">
        <v>5</v>
      </c>
      <c r="V13" s="73">
        <v>6</v>
      </c>
      <c r="W13" s="73">
        <v>7</v>
      </c>
      <c r="X13" s="73">
        <v>8</v>
      </c>
      <c r="Y13" s="108">
        <v>9</v>
      </c>
      <c r="Z13" s="108">
        <v>10</v>
      </c>
      <c r="AA13" s="73">
        <v>12</v>
      </c>
      <c r="AB13" s="73">
        <v>15</v>
      </c>
      <c r="AC13" s="73" t="s">
        <v>3</v>
      </c>
      <c r="AD13" s="73" t="s">
        <v>1547</v>
      </c>
      <c r="AE13" s="73" t="s">
        <v>3</v>
      </c>
      <c r="AF13" s="73" t="s">
        <v>1419</v>
      </c>
      <c r="AG13" s="73" t="s">
        <v>3</v>
      </c>
      <c r="AH13" s="73" t="s">
        <v>3</v>
      </c>
      <c r="AI13" s="73" t="s">
        <v>3</v>
      </c>
      <c r="AJ13" s="73" t="s">
        <v>1274</v>
      </c>
      <c r="AK13" s="73"/>
      <c r="AL13" s="73"/>
      <c r="AM13" s="73"/>
    </row>
    <row r="14" spans="1:39" s="79" customFormat="1" x14ac:dyDescent="0.25">
      <c r="A14" s="73" t="s">
        <v>2016</v>
      </c>
      <c r="B14" s="74">
        <v>1</v>
      </c>
      <c r="C14" s="73"/>
      <c r="D14" s="73" t="s">
        <v>60</v>
      </c>
      <c r="E14" s="79" t="s">
        <v>103</v>
      </c>
      <c r="G14" s="73"/>
      <c r="H14" s="73" t="s">
        <v>1548</v>
      </c>
      <c r="I14" s="79" t="s">
        <v>107</v>
      </c>
      <c r="J14" s="73"/>
      <c r="K14" s="73"/>
      <c r="L14" s="73"/>
      <c r="M14" s="73"/>
      <c r="N14" s="73"/>
      <c r="O14" s="73"/>
      <c r="P14" s="73"/>
      <c r="Q14" s="67"/>
      <c r="R14" s="73">
        <v>2</v>
      </c>
      <c r="S14" s="73">
        <v>3</v>
      </c>
      <c r="T14" s="73">
        <v>4</v>
      </c>
      <c r="U14" s="73">
        <v>5</v>
      </c>
      <c r="V14" s="73">
        <v>6</v>
      </c>
      <c r="W14" s="73">
        <v>7</v>
      </c>
      <c r="X14" s="73">
        <v>8</v>
      </c>
      <c r="Y14" s="108">
        <v>9</v>
      </c>
      <c r="Z14" s="108">
        <v>10</v>
      </c>
      <c r="AA14" s="73">
        <v>12</v>
      </c>
      <c r="AB14" s="73">
        <v>15</v>
      </c>
      <c r="AC14" s="73" t="s">
        <v>3</v>
      </c>
      <c r="AD14" s="73" t="s">
        <v>1547</v>
      </c>
      <c r="AE14" s="73" t="s">
        <v>3</v>
      </c>
      <c r="AF14" s="73" t="s">
        <v>1419</v>
      </c>
      <c r="AG14" s="73" t="s">
        <v>3</v>
      </c>
      <c r="AH14" s="73" t="s">
        <v>3</v>
      </c>
      <c r="AI14" s="73" t="s">
        <v>3</v>
      </c>
      <c r="AJ14" s="73" t="s">
        <v>1274</v>
      </c>
      <c r="AK14" s="73"/>
      <c r="AL14" s="73"/>
      <c r="AM14" s="73"/>
    </row>
    <row r="15" spans="1:39" s="79" customFormat="1" x14ac:dyDescent="0.25">
      <c r="A15" s="73" t="s">
        <v>2017</v>
      </c>
      <c r="B15" s="74">
        <v>1</v>
      </c>
      <c r="C15" s="73"/>
      <c r="D15" s="73" t="s">
        <v>60</v>
      </c>
      <c r="E15" s="79" t="s">
        <v>103</v>
      </c>
      <c r="G15" s="73"/>
      <c r="H15" s="73" t="s">
        <v>1548</v>
      </c>
      <c r="I15" s="79" t="s">
        <v>107</v>
      </c>
      <c r="J15" s="73"/>
      <c r="K15" s="73"/>
      <c r="L15" s="73"/>
      <c r="M15" s="73"/>
      <c r="N15" s="73"/>
      <c r="O15" s="73"/>
      <c r="P15" s="73"/>
      <c r="Q15" s="67"/>
      <c r="R15" s="73">
        <v>2</v>
      </c>
      <c r="S15" s="73">
        <v>3</v>
      </c>
      <c r="T15" s="73">
        <v>4</v>
      </c>
      <c r="U15" s="73">
        <v>5</v>
      </c>
      <c r="V15" s="73">
        <v>6</v>
      </c>
      <c r="W15" s="73">
        <v>7</v>
      </c>
      <c r="X15" s="73">
        <v>8</v>
      </c>
      <c r="Y15" s="108">
        <v>9</v>
      </c>
      <c r="Z15" s="108">
        <v>10</v>
      </c>
      <c r="AA15" s="73">
        <v>12</v>
      </c>
      <c r="AB15" s="73">
        <v>15</v>
      </c>
      <c r="AC15" s="73" t="s">
        <v>3</v>
      </c>
      <c r="AD15" s="73" t="s">
        <v>1547</v>
      </c>
      <c r="AE15" s="73" t="s">
        <v>3</v>
      </c>
      <c r="AF15" s="73" t="s">
        <v>1419</v>
      </c>
      <c r="AG15" s="73" t="s">
        <v>3</v>
      </c>
      <c r="AH15" s="73" t="s">
        <v>3</v>
      </c>
      <c r="AI15" s="73" t="s">
        <v>3</v>
      </c>
      <c r="AJ15" s="73" t="s">
        <v>1274</v>
      </c>
      <c r="AK15" s="73"/>
      <c r="AL15" s="73"/>
      <c r="AM15" s="73"/>
    </row>
    <row r="16" spans="1:39" s="79" customFormat="1" x14ac:dyDescent="0.25">
      <c r="A16" s="73" t="s">
        <v>2018</v>
      </c>
      <c r="B16" s="74">
        <v>1</v>
      </c>
      <c r="C16" s="73"/>
      <c r="D16" s="73" t="s">
        <v>60</v>
      </c>
      <c r="E16" s="79" t="s">
        <v>103</v>
      </c>
      <c r="G16" s="73"/>
      <c r="H16" s="73" t="s">
        <v>1548</v>
      </c>
      <c r="I16" s="79" t="s">
        <v>107</v>
      </c>
      <c r="J16" s="73"/>
      <c r="K16" s="73"/>
      <c r="L16" s="73"/>
      <c r="M16" s="73"/>
      <c r="N16" s="73"/>
      <c r="O16" s="73"/>
      <c r="P16" s="73"/>
      <c r="Q16" s="67"/>
      <c r="R16" s="73">
        <v>2</v>
      </c>
      <c r="S16" s="73">
        <v>3</v>
      </c>
      <c r="T16" s="73">
        <v>4</v>
      </c>
      <c r="U16" s="73">
        <v>5</v>
      </c>
      <c r="V16" s="73">
        <v>6</v>
      </c>
      <c r="W16" s="73">
        <v>7</v>
      </c>
      <c r="X16" s="73">
        <v>8</v>
      </c>
      <c r="Y16" s="108">
        <v>9</v>
      </c>
      <c r="Z16" s="108">
        <v>10</v>
      </c>
      <c r="AA16" s="73">
        <v>12</v>
      </c>
      <c r="AB16" s="73">
        <v>15</v>
      </c>
      <c r="AC16" s="73" t="s">
        <v>3</v>
      </c>
      <c r="AD16" s="73" t="s">
        <v>1547</v>
      </c>
      <c r="AE16" s="73" t="s">
        <v>3</v>
      </c>
      <c r="AF16" s="73" t="s">
        <v>1419</v>
      </c>
      <c r="AG16" s="73" t="s">
        <v>3</v>
      </c>
      <c r="AH16" s="73" t="s">
        <v>3</v>
      </c>
      <c r="AI16" s="73" t="s">
        <v>3</v>
      </c>
      <c r="AJ16" s="73" t="s">
        <v>1274</v>
      </c>
      <c r="AK16" s="73"/>
      <c r="AL16" s="73"/>
      <c r="AM16" s="73"/>
    </row>
    <row r="17" spans="1:39" s="79" customFormat="1" x14ac:dyDescent="0.25">
      <c r="A17" s="73" t="s">
        <v>2019</v>
      </c>
      <c r="B17" s="74">
        <v>1</v>
      </c>
      <c r="C17" s="73"/>
      <c r="D17" s="73" t="s">
        <v>60</v>
      </c>
      <c r="E17" s="79" t="s">
        <v>103</v>
      </c>
      <c r="G17" s="73"/>
      <c r="H17" s="73" t="s">
        <v>1548</v>
      </c>
      <c r="I17" s="79" t="s">
        <v>107</v>
      </c>
      <c r="J17" s="73"/>
      <c r="K17" s="73"/>
      <c r="L17" s="73"/>
      <c r="M17" s="73"/>
      <c r="N17" s="73"/>
      <c r="O17" s="73"/>
      <c r="P17" s="73"/>
      <c r="Q17" s="67"/>
      <c r="R17" s="73">
        <v>2</v>
      </c>
      <c r="S17" s="73">
        <v>3</v>
      </c>
      <c r="T17" s="73">
        <v>4</v>
      </c>
      <c r="U17" s="73">
        <v>5</v>
      </c>
      <c r="V17" s="73">
        <v>6</v>
      </c>
      <c r="W17" s="73">
        <v>7</v>
      </c>
      <c r="X17" s="73">
        <v>8</v>
      </c>
      <c r="Y17" s="108">
        <v>9</v>
      </c>
      <c r="Z17" s="108">
        <v>10</v>
      </c>
      <c r="AA17" s="73">
        <v>12</v>
      </c>
      <c r="AB17" s="73">
        <v>15</v>
      </c>
      <c r="AC17" s="73" t="s">
        <v>3</v>
      </c>
      <c r="AD17" s="73" t="s">
        <v>1547</v>
      </c>
      <c r="AE17" s="73" t="s">
        <v>3</v>
      </c>
      <c r="AF17" s="73" t="s">
        <v>1419</v>
      </c>
      <c r="AG17" s="73" t="s">
        <v>3</v>
      </c>
      <c r="AH17" s="73" t="s">
        <v>3</v>
      </c>
      <c r="AI17" s="73" t="s">
        <v>3</v>
      </c>
      <c r="AJ17" s="73" t="s">
        <v>1274</v>
      </c>
      <c r="AK17" s="73"/>
      <c r="AL17" s="73"/>
      <c r="AM17" s="73"/>
    </row>
    <row r="18" spans="1:39" s="79" customFormat="1" x14ac:dyDescent="0.25">
      <c r="A18" s="73" t="s">
        <v>2020</v>
      </c>
      <c r="B18" s="74">
        <v>1</v>
      </c>
      <c r="C18" s="73"/>
      <c r="D18" s="73" t="s">
        <v>60</v>
      </c>
      <c r="E18" s="79" t="s">
        <v>103</v>
      </c>
      <c r="G18" s="73"/>
      <c r="H18" s="73" t="s">
        <v>1548</v>
      </c>
      <c r="I18" s="79" t="s">
        <v>107</v>
      </c>
      <c r="J18" s="73"/>
      <c r="K18" s="73"/>
      <c r="L18" s="73"/>
      <c r="M18" s="73"/>
      <c r="N18" s="73"/>
      <c r="O18" s="73"/>
      <c r="P18" s="73"/>
      <c r="Q18" s="67"/>
      <c r="R18" s="73">
        <v>2</v>
      </c>
      <c r="S18" s="73">
        <v>3</v>
      </c>
      <c r="T18" s="73">
        <v>4</v>
      </c>
      <c r="U18" s="73">
        <v>5</v>
      </c>
      <c r="V18" s="73">
        <v>6</v>
      </c>
      <c r="W18" s="73">
        <v>7</v>
      </c>
      <c r="X18" s="73">
        <v>8</v>
      </c>
      <c r="Y18" s="108">
        <v>9</v>
      </c>
      <c r="Z18" s="108">
        <v>10</v>
      </c>
      <c r="AA18" s="73">
        <v>12</v>
      </c>
      <c r="AB18" s="73">
        <v>15</v>
      </c>
      <c r="AC18" s="73" t="s">
        <v>3</v>
      </c>
      <c r="AD18" s="73" t="s">
        <v>1547</v>
      </c>
      <c r="AE18" s="73" t="s">
        <v>3</v>
      </c>
      <c r="AF18" s="73" t="s">
        <v>1419</v>
      </c>
      <c r="AG18" s="73" t="s">
        <v>3</v>
      </c>
      <c r="AH18" s="73" t="s">
        <v>3</v>
      </c>
      <c r="AI18" s="73" t="s">
        <v>3</v>
      </c>
      <c r="AJ18" s="73" t="s">
        <v>1274</v>
      </c>
      <c r="AK18" s="73"/>
      <c r="AL18" s="73"/>
      <c r="AM18" s="73"/>
    </row>
    <row r="19" spans="1:39" s="79" customFormat="1" x14ac:dyDescent="0.25">
      <c r="A19" s="73" t="s">
        <v>2021</v>
      </c>
      <c r="B19" s="74">
        <v>1</v>
      </c>
      <c r="C19" s="73"/>
      <c r="D19" s="73" t="s">
        <v>60</v>
      </c>
      <c r="E19" s="79" t="s">
        <v>103</v>
      </c>
      <c r="G19" s="73"/>
      <c r="H19" s="73" t="s">
        <v>1548</v>
      </c>
      <c r="I19" s="79" t="s">
        <v>107</v>
      </c>
      <c r="J19" s="73"/>
      <c r="K19" s="73"/>
      <c r="L19" s="73"/>
      <c r="M19" s="73"/>
      <c r="N19" s="73"/>
      <c r="O19" s="73"/>
      <c r="P19" s="73"/>
      <c r="Q19" s="67"/>
      <c r="R19" s="73">
        <v>2</v>
      </c>
      <c r="S19" s="73">
        <v>3</v>
      </c>
      <c r="T19" s="73">
        <v>4</v>
      </c>
      <c r="U19" s="73">
        <v>5</v>
      </c>
      <c r="V19" s="73">
        <v>6</v>
      </c>
      <c r="W19" s="73">
        <v>7</v>
      </c>
      <c r="X19" s="73">
        <v>8</v>
      </c>
      <c r="Y19" s="108">
        <v>9</v>
      </c>
      <c r="Z19" s="108">
        <v>10</v>
      </c>
      <c r="AA19" s="73">
        <v>12</v>
      </c>
      <c r="AB19" s="73">
        <v>15</v>
      </c>
      <c r="AC19" s="73" t="s">
        <v>3</v>
      </c>
      <c r="AD19" s="73" t="s">
        <v>1547</v>
      </c>
      <c r="AE19" s="73" t="s">
        <v>3</v>
      </c>
      <c r="AF19" s="73" t="s">
        <v>1419</v>
      </c>
      <c r="AG19" s="73" t="s">
        <v>3</v>
      </c>
      <c r="AH19" s="73" t="s">
        <v>3</v>
      </c>
      <c r="AI19" s="73" t="s">
        <v>3</v>
      </c>
      <c r="AJ19" s="73" t="s">
        <v>1274</v>
      </c>
      <c r="AK19" s="73"/>
      <c r="AL19" s="73"/>
      <c r="AM19" s="73"/>
    </row>
    <row r="20" spans="1:39" s="79" customFormat="1" x14ac:dyDescent="0.25">
      <c r="A20" s="73" t="s">
        <v>16</v>
      </c>
      <c r="B20" s="74">
        <v>1</v>
      </c>
      <c r="C20" s="73"/>
      <c r="D20" s="73"/>
      <c r="E20" s="73"/>
      <c r="F20" s="73" t="s">
        <v>60</v>
      </c>
      <c r="G20" s="73" t="s">
        <v>103</v>
      </c>
      <c r="H20" s="73" t="s">
        <v>1548</v>
      </c>
      <c r="I20" s="73"/>
      <c r="J20" s="73" t="s">
        <v>107</v>
      </c>
      <c r="K20" s="73" t="s">
        <v>3</v>
      </c>
      <c r="L20" s="73" t="s">
        <v>1549</v>
      </c>
      <c r="M20" s="73" t="s">
        <v>970</v>
      </c>
      <c r="N20" s="73" t="s">
        <v>1550</v>
      </c>
      <c r="O20" s="73" t="s">
        <v>1346</v>
      </c>
      <c r="P20" s="73" t="s">
        <v>1294</v>
      </c>
      <c r="Q20" s="67" t="s">
        <v>1551</v>
      </c>
      <c r="R20" s="73"/>
      <c r="S20" s="73"/>
      <c r="T20" s="73"/>
      <c r="U20" s="73"/>
      <c r="V20" s="73"/>
      <c r="W20" s="73"/>
      <c r="X20" s="73"/>
      <c r="Y20" s="108"/>
      <c r="Z20" s="108"/>
      <c r="AA20" s="73"/>
      <c r="AB20" s="73"/>
      <c r="AC20" s="73" t="s">
        <v>3</v>
      </c>
      <c r="AD20" s="73" t="s">
        <v>1547</v>
      </c>
      <c r="AE20" s="73" t="s">
        <v>3</v>
      </c>
      <c r="AF20" s="73" t="s">
        <v>1419</v>
      </c>
      <c r="AG20" s="73" t="s">
        <v>3</v>
      </c>
      <c r="AH20" s="73" t="s">
        <v>3</v>
      </c>
      <c r="AI20" s="73" t="s">
        <v>3</v>
      </c>
      <c r="AJ20" s="73" t="s">
        <v>1274</v>
      </c>
      <c r="AK20" s="73"/>
      <c r="AL20" s="73"/>
      <c r="AM20" s="73"/>
    </row>
    <row r="21" spans="1:39" s="79" customFormat="1" x14ac:dyDescent="0.25">
      <c r="A21" s="73" t="s">
        <v>114</v>
      </c>
      <c r="B21" s="74">
        <v>1</v>
      </c>
      <c r="C21" s="73"/>
      <c r="D21" s="73"/>
      <c r="E21" s="73"/>
      <c r="F21" s="73" t="s">
        <v>60</v>
      </c>
      <c r="G21" s="73" t="s">
        <v>103</v>
      </c>
      <c r="H21" s="73" t="s">
        <v>1548</v>
      </c>
      <c r="I21" s="73"/>
      <c r="J21" s="73" t="s">
        <v>107</v>
      </c>
      <c r="K21" s="73" t="s">
        <v>3</v>
      </c>
      <c r="L21" s="73" t="s">
        <v>1549</v>
      </c>
      <c r="M21" s="73" t="s">
        <v>970</v>
      </c>
      <c r="N21" s="73" t="s">
        <v>1550</v>
      </c>
      <c r="O21" s="73" t="s">
        <v>1346</v>
      </c>
      <c r="P21" s="73" t="s">
        <v>1294</v>
      </c>
      <c r="Q21" s="67" t="s">
        <v>1551</v>
      </c>
      <c r="R21" s="73"/>
      <c r="S21" s="73"/>
      <c r="T21" s="73"/>
      <c r="U21" s="73"/>
      <c r="V21" s="73"/>
      <c r="W21" s="73"/>
      <c r="X21" s="73"/>
      <c r="Y21" s="108"/>
      <c r="Z21" s="108"/>
      <c r="AA21" s="73"/>
      <c r="AB21" s="73"/>
      <c r="AC21" s="73" t="s">
        <v>3</v>
      </c>
      <c r="AD21" s="73" t="s">
        <v>1547</v>
      </c>
      <c r="AE21" s="73" t="s">
        <v>3</v>
      </c>
      <c r="AF21" s="73" t="s">
        <v>1419</v>
      </c>
      <c r="AG21" s="73" t="s">
        <v>3</v>
      </c>
      <c r="AH21" s="73" t="s">
        <v>3</v>
      </c>
      <c r="AI21" s="73" t="s">
        <v>3</v>
      </c>
      <c r="AJ21" s="73" t="s">
        <v>1274</v>
      </c>
      <c r="AK21" s="73"/>
      <c r="AL21" s="73"/>
      <c r="AM21" s="73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I60"/>
  <sheetViews>
    <sheetView zoomScale="85" zoomScaleNormal="85" workbookViewId="0">
      <pane xSplit="2" ySplit="1" topLeftCell="C2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C14" sqref="C14"/>
    </sheetView>
  </sheetViews>
  <sheetFormatPr defaultRowHeight="15" x14ac:dyDescent="0.25"/>
  <cols>
    <col min="1" max="1" width="8.140625" style="15" bestFit="1" customWidth="1" collapsed="1"/>
    <col min="2" max="2" width="8.7109375" style="15" bestFit="1" customWidth="1" collapsed="1"/>
    <col min="3" max="3" width="22.140625" style="15" bestFit="1" customWidth="1" collapsed="1"/>
    <col min="4" max="4" width="18.85546875" style="15" customWidth="1" collapsed="1"/>
    <col min="5" max="5" width="14.140625" style="15" customWidth="1" collapsed="1"/>
    <col min="6" max="6" width="15.5703125" style="15" bestFit="1" customWidth="1" collapsed="1"/>
    <col min="7" max="7" width="44.42578125" style="15" customWidth="1" collapsed="1"/>
    <col min="8" max="8" width="21.85546875" style="15" bestFit="1" customWidth="1" collapsed="1"/>
    <col min="9" max="11" width="18" style="15" customWidth="1" collapsed="1"/>
    <col min="12" max="12" width="20.42578125" style="15" bestFit="1" customWidth="1" collapsed="1"/>
    <col min="13" max="13" width="26.42578125" style="15" bestFit="1" customWidth="1" collapsed="1"/>
    <col min="14" max="14" width="25.85546875" style="15" bestFit="1" customWidth="1" collapsed="1"/>
    <col min="15" max="15" width="26.85546875" style="15" bestFit="1" customWidth="1" collapsed="1"/>
    <col min="16" max="16" width="19.7109375" style="15" bestFit="1" customWidth="1" collapsed="1"/>
    <col min="17" max="17" width="20" style="15" bestFit="1" customWidth="1" collapsed="1"/>
    <col min="18" max="18" width="22.140625" style="15" bestFit="1" customWidth="1" collapsed="1"/>
    <col min="19" max="19" width="22.140625" style="15" customWidth="1" collapsed="1"/>
    <col min="20" max="20" width="25.85546875" style="15" bestFit="1" customWidth="1" collapsed="1"/>
    <col min="21" max="21" width="23.7109375" style="15" bestFit="1" customWidth="1" collapsed="1"/>
    <col min="22" max="25" width="23.7109375" style="15" customWidth="1" collapsed="1"/>
    <col min="26" max="26" width="23.7109375" style="15" bestFit="1" customWidth="1" collapsed="1"/>
    <col min="27" max="27" width="38.5703125" style="15" bestFit="1" customWidth="1" collapsed="1"/>
    <col min="28" max="28" width="23.140625" style="15" bestFit="1" customWidth="1" collapsed="1"/>
    <col min="29" max="35" width="23.140625" style="15" customWidth="1" collapsed="1"/>
    <col min="36" max="36" width="24" style="15" bestFit="1" customWidth="1" collapsed="1"/>
    <col min="37" max="37" width="24" style="128" customWidth="1" collapsed="1"/>
    <col min="38" max="38" width="39.7109375" style="15" bestFit="1" customWidth="1" collapsed="1"/>
    <col min="39" max="39" width="24" style="15" customWidth="1" collapsed="1"/>
    <col min="40" max="40" width="24.140625" style="15" bestFit="1" customWidth="1" collapsed="1"/>
    <col min="41" max="41" width="30.85546875" style="15" bestFit="1" customWidth="1" collapsed="1"/>
    <col min="42" max="42" width="31" style="15" bestFit="1" customWidth="1" collapsed="1"/>
    <col min="43" max="43" width="20.7109375" style="15" bestFit="1" customWidth="1" collapsed="1"/>
    <col min="44" max="50" width="20.7109375" style="15" customWidth="1" collapsed="1"/>
    <col min="51" max="51" width="18.7109375" style="15" bestFit="1" customWidth="1" collapsed="1"/>
    <col min="52" max="52" width="18.7109375" style="15" customWidth="1" collapsed="1"/>
    <col min="53" max="53" width="18.140625" style="15" bestFit="1" customWidth="1" collapsed="1"/>
    <col min="54" max="54" width="18.140625" style="15" customWidth="1" collapsed="1"/>
    <col min="55" max="55" width="129.7109375" style="15" bestFit="1" customWidth="1" collapsed="1"/>
    <col min="56" max="56" width="24" style="15" bestFit="1" customWidth="1" collapsed="1"/>
    <col min="57" max="57" width="96.28515625" style="15" bestFit="1" customWidth="1" collapsed="1"/>
    <col min="58" max="58" width="18" style="15" bestFit="1" customWidth="1" collapsed="1"/>
    <col min="59" max="59" width="27" style="15" bestFit="1" customWidth="1" collapsed="1"/>
    <col min="60" max="60" width="33.85546875" style="15" bestFit="1" customWidth="1" collapsed="1"/>
    <col min="61" max="61" width="32.28515625" style="15" bestFit="1" customWidth="1" collapsed="1"/>
    <col min="62" max="62" width="18.140625" style="15" bestFit="1" customWidth="1" collapsed="1"/>
    <col min="63" max="63" width="30.140625" style="15" bestFit="1" customWidth="1" collapsed="1"/>
    <col min="64" max="64" width="22.5703125" style="15" bestFit="1" customWidth="1" collapsed="1"/>
    <col min="65" max="65" width="14.42578125" style="15" bestFit="1" customWidth="1" collapsed="1"/>
    <col min="66" max="66" width="16" style="15" bestFit="1" customWidth="1" collapsed="1"/>
    <col min="67" max="67" width="18" style="15" bestFit="1" customWidth="1" collapsed="1"/>
    <col min="68" max="68" width="17" style="15" bestFit="1" customWidth="1" collapsed="1"/>
    <col min="69" max="69" width="14.42578125" style="15" bestFit="1" customWidth="1" collapsed="1"/>
    <col min="70" max="70" width="16" style="15" bestFit="1" customWidth="1" collapsed="1"/>
    <col min="71" max="71" width="18" style="15" bestFit="1" customWidth="1" collapsed="1"/>
    <col min="72" max="72" width="17" style="15" bestFit="1" customWidth="1" collapsed="1"/>
    <col min="73" max="16384" width="9.140625" style="15" collapsed="1"/>
  </cols>
  <sheetData>
    <row r="1" spans="1:61" s="124" customFormat="1" ht="45" x14ac:dyDescent="0.25">
      <c r="A1" s="120" t="s">
        <v>0</v>
      </c>
      <c r="B1" s="120" t="s">
        <v>18</v>
      </c>
      <c r="C1" s="120" t="s">
        <v>1579</v>
      </c>
      <c r="D1" s="120" t="s">
        <v>1580</v>
      </c>
      <c r="E1" s="120" t="s">
        <v>1581</v>
      </c>
      <c r="F1" s="120" t="s">
        <v>1582</v>
      </c>
      <c r="G1" s="121" t="s">
        <v>204</v>
      </c>
      <c r="H1" s="120" t="s">
        <v>1583</v>
      </c>
      <c r="I1" s="120" t="s">
        <v>1584</v>
      </c>
      <c r="J1" s="120" t="s">
        <v>1726</v>
      </c>
      <c r="K1" s="120" t="s">
        <v>1585</v>
      </c>
      <c r="L1" s="120" t="s">
        <v>1586</v>
      </c>
      <c r="M1" s="120" t="s">
        <v>1587</v>
      </c>
      <c r="N1" s="120" t="s">
        <v>1588</v>
      </c>
      <c r="O1" s="120" t="s">
        <v>1727</v>
      </c>
      <c r="P1" s="120" t="s">
        <v>1589</v>
      </c>
      <c r="Q1" s="120" t="s">
        <v>1590</v>
      </c>
      <c r="R1" s="120" t="s">
        <v>1590</v>
      </c>
      <c r="S1" s="120" t="s">
        <v>1590</v>
      </c>
      <c r="T1" s="120" t="s">
        <v>1588</v>
      </c>
      <c r="U1" s="120" t="s">
        <v>1591</v>
      </c>
      <c r="V1" s="120" t="s">
        <v>1730</v>
      </c>
      <c r="W1" s="120" t="s">
        <v>1731</v>
      </c>
      <c r="X1" s="120" t="s">
        <v>1749</v>
      </c>
      <c r="Y1" s="120" t="s">
        <v>1590</v>
      </c>
      <c r="Z1" s="120" t="s">
        <v>1592</v>
      </c>
      <c r="AA1" s="120" t="s">
        <v>1729</v>
      </c>
      <c r="AB1" s="120" t="s">
        <v>1593</v>
      </c>
      <c r="AC1" s="120" t="s">
        <v>1535</v>
      </c>
      <c r="AD1" s="120" t="s">
        <v>1536</v>
      </c>
      <c r="AE1" s="120" t="s">
        <v>1537</v>
      </c>
      <c r="AF1" s="120" t="s">
        <v>1538</v>
      </c>
      <c r="AG1" s="120" t="s">
        <v>1539</v>
      </c>
      <c r="AH1" s="120" t="s">
        <v>1540</v>
      </c>
      <c r="AI1" s="120" t="s">
        <v>1594</v>
      </c>
      <c r="AJ1" s="120" t="s">
        <v>1595</v>
      </c>
      <c r="AK1" s="121" t="s">
        <v>1596</v>
      </c>
      <c r="AL1" s="120" t="s">
        <v>1597</v>
      </c>
      <c r="AM1" s="120" t="s">
        <v>1598</v>
      </c>
      <c r="AN1" s="120" t="s">
        <v>1599</v>
      </c>
      <c r="AO1" s="120" t="s">
        <v>1600</v>
      </c>
      <c r="AP1" s="120" t="s">
        <v>1601</v>
      </c>
      <c r="AQ1" s="120" t="s">
        <v>1602</v>
      </c>
      <c r="AR1" s="120" t="s">
        <v>1603</v>
      </c>
      <c r="AS1" s="122" t="s">
        <v>1583</v>
      </c>
      <c r="AT1" s="120" t="s">
        <v>1604</v>
      </c>
      <c r="AU1" s="120" t="s">
        <v>2130</v>
      </c>
      <c r="AV1" s="120" t="s">
        <v>2134</v>
      </c>
      <c r="AW1" s="120" t="s">
        <v>2142</v>
      </c>
      <c r="AX1" s="120" t="s">
        <v>2142</v>
      </c>
      <c r="AY1" s="120" t="s">
        <v>1605</v>
      </c>
      <c r="AZ1" s="120" t="s">
        <v>805</v>
      </c>
      <c r="BA1" s="120" t="s">
        <v>1606</v>
      </c>
      <c r="BB1" s="120" t="s">
        <v>1607</v>
      </c>
      <c r="BC1" s="120" t="s">
        <v>1608</v>
      </c>
      <c r="BD1" s="120" t="s">
        <v>56</v>
      </c>
      <c r="BE1" s="120" t="s">
        <v>204</v>
      </c>
      <c r="BF1" s="120" t="s">
        <v>1604</v>
      </c>
      <c r="BG1" s="120" t="s">
        <v>1609</v>
      </c>
      <c r="BH1" s="123" t="s">
        <v>959</v>
      </c>
      <c r="BI1" s="120" t="s">
        <v>805</v>
      </c>
    </row>
    <row r="2" spans="1:61" x14ac:dyDescent="0.25">
      <c r="A2" s="2" t="s">
        <v>1170</v>
      </c>
      <c r="B2" s="4">
        <v>1</v>
      </c>
      <c r="C2" s="12"/>
      <c r="D2" s="2" t="s">
        <v>3</v>
      </c>
      <c r="E2" s="2"/>
      <c r="F2" s="2" t="s">
        <v>3</v>
      </c>
      <c r="G2" s="2"/>
      <c r="H2" s="2" t="s">
        <v>1614</v>
      </c>
      <c r="I2" s="14" t="s">
        <v>1702</v>
      </c>
      <c r="J2" s="14"/>
      <c r="K2" s="12"/>
      <c r="L2" s="126"/>
      <c r="M2" s="126"/>
      <c r="N2" s="12"/>
      <c r="O2" s="12"/>
      <c r="P2" s="12"/>
      <c r="Q2" s="2" t="s">
        <v>1615</v>
      </c>
      <c r="R2" s="2" t="s">
        <v>1616</v>
      </c>
      <c r="S2" s="2" t="s">
        <v>1703</v>
      </c>
      <c r="T2" s="2" t="s">
        <v>961</v>
      </c>
      <c r="U2" s="2" t="s">
        <v>968</v>
      </c>
      <c r="V2" s="2"/>
      <c r="W2" s="2"/>
      <c r="X2" s="2"/>
      <c r="Y2" s="2"/>
      <c r="Z2" s="2" t="s">
        <v>1617</v>
      </c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5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2" t="s">
        <v>3</v>
      </c>
      <c r="AZ2" s="2"/>
      <c r="BA2" s="12"/>
      <c r="BB2" s="12"/>
      <c r="BC2" s="12"/>
      <c r="BD2" s="12"/>
      <c r="BE2" s="12"/>
      <c r="BF2" s="12"/>
      <c r="BG2" s="12"/>
      <c r="BH2" s="12"/>
      <c r="BI2" s="2" t="s">
        <v>1658</v>
      </c>
    </row>
    <row r="3" spans="1:61" x14ac:dyDescent="0.25">
      <c r="A3" s="2" t="s">
        <v>1171</v>
      </c>
      <c r="B3" s="4">
        <v>1</v>
      </c>
      <c r="C3" s="12"/>
      <c r="D3" s="2" t="s">
        <v>3</v>
      </c>
      <c r="E3" s="2"/>
      <c r="F3" s="2" t="s">
        <v>3</v>
      </c>
      <c r="G3" s="2"/>
      <c r="H3" s="2" t="s">
        <v>1614</v>
      </c>
      <c r="I3" s="14" t="s">
        <v>1702</v>
      </c>
      <c r="J3" s="14"/>
      <c r="K3" s="12"/>
      <c r="L3" s="126"/>
      <c r="M3" s="126"/>
      <c r="N3" s="12"/>
      <c r="O3" s="12"/>
      <c r="P3" s="12"/>
      <c r="Q3" s="2" t="s">
        <v>1615</v>
      </c>
      <c r="R3" s="2" t="s">
        <v>1616</v>
      </c>
      <c r="S3" s="2" t="s">
        <v>1703</v>
      </c>
      <c r="T3" s="2" t="s">
        <v>961</v>
      </c>
      <c r="U3" s="2" t="s">
        <v>968</v>
      </c>
      <c r="V3" s="2"/>
      <c r="W3" s="2"/>
      <c r="X3" s="2"/>
      <c r="Y3" s="2"/>
      <c r="Z3" s="2" t="s">
        <v>1617</v>
      </c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5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2" t="s">
        <v>3</v>
      </c>
      <c r="AZ3" s="2"/>
      <c r="BA3" s="12"/>
      <c r="BB3" s="12"/>
      <c r="BC3" s="12"/>
      <c r="BD3" s="12"/>
      <c r="BE3" s="12"/>
      <c r="BF3" s="12"/>
      <c r="BG3" s="12"/>
      <c r="BH3" s="12"/>
      <c r="BI3" s="2" t="s">
        <v>1658</v>
      </c>
    </row>
    <row r="4" spans="1:61" x14ac:dyDescent="0.25">
      <c r="A4" s="2" t="s">
        <v>1171</v>
      </c>
      <c r="B4" s="4">
        <v>2</v>
      </c>
      <c r="C4" s="12"/>
      <c r="D4" s="2" t="s">
        <v>3</v>
      </c>
      <c r="E4" s="2"/>
      <c r="F4" s="2" t="s">
        <v>3</v>
      </c>
      <c r="G4" s="2"/>
      <c r="H4" s="2" t="s">
        <v>1714</v>
      </c>
      <c r="I4" s="14"/>
      <c r="J4" s="14"/>
      <c r="K4" s="12"/>
      <c r="L4" s="126"/>
      <c r="M4" s="126"/>
      <c r="N4" s="12"/>
      <c r="O4" s="12"/>
      <c r="P4" s="12"/>
      <c r="Q4" s="2" t="s">
        <v>1615</v>
      </c>
      <c r="R4" s="2" t="s">
        <v>1616</v>
      </c>
      <c r="S4" s="2" t="s">
        <v>1703</v>
      </c>
      <c r="T4" s="2" t="s">
        <v>1718</v>
      </c>
      <c r="U4" s="2"/>
      <c r="V4" s="2"/>
      <c r="W4" s="2"/>
      <c r="X4" s="2"/>
      <c r="Y4" s="2"/>
      <c r="Z4" s="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5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2" t="s">
        <v>3</v>
      </c>
      <c r="AZ4" s="2"/>
      <c r="BA4" s="12"/>
      <c r="BB4" s="12"/>
      <c r="BC4" s="12"/>
      <c r="BD4" s="12"/>
      <c r="BE4" s="12"/>
      <c r="BF4" s="12"/>
      <c r="BG4" s="12"/>
      <c r="BH4" s="12"/>
      <c r="BI4" s="2" t="s">
        <v>1658</v>
      </c>
    </row>
    <row r="5" spans="1:61" x14ac:dyDescent="0.25">
      <c r="A5" s="2" t="s">
        <v>1172</v>
      </c>
      <c r="B5" s="2">
        <v>1</v>
      </c>
      <c r="C5" s="12"/>
      <c r="D5" s="2" t="s">
        <v>3</v>
      </c>
      <c r="E5" s="2"/>
      <c r="F5" s="2" t="s">
        <v>3</v>
      </c>
      <c r="G5" s="2"/>
      <c r="H5" s="2" t="s">
        <v>1640</v>
      </c>
      <c r="I5" s="14" t="s">
        <v>1725</v>
      </c>
      <c r="J5" s="14" t="s">
        <v>1702</v>
      </c>
      <c r="K5" s="12"/>
      <c r="L5" s="12"/>
      <c r="M5" s="12"/>
      <c r="N5" s="12"/>
      <c r="O5" s="2" t="s">
        <v>3</v>
      </c>
      <c r="P5" s="12"/>
      <c r="Q5" s="2" t="s">
        <v>1615</v>
      </c>
      <c r="R5" s="2" t="s">
        <v>1616</v>
      </c>
      <c r="S5" s="2" t="s">
        <v>1703</v>
      </c>
      <c r="T5" s="2" t="s">
        <v>1718</v>
      </c>
      <c r="U5" s="12" t="s">
        <v>1728</v>
      </c>
      <c r="V5" s="20" t="s">
        <v>1733</v>
      </c>
      <c r="W5" s="12" t="s">
        <v>970</v>
      </c>
      <c r="X5" s="12"/>
      <c r="Y5" s="12"/>
      <c r="Z5" s="12"/>
      <c r="AA5" s="2" t="s">
        <v>1641</v>
      </c>
      <c r="AB5" s="12"/>
      <c r="AC5" s="12"/>
      <c r="AD5" s="12"/>
      <c r="AE5" s="12"/>
      <c r="AF5" s="12"/>
      <c r="AG5" s="12"/>
      <c r="AH5" s="12"/>
      <c r="AI5" s="12"/>
      <c r="AJ5" s="12"/>
      <c r="AK5" s="125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2" t="s">
        <v>3</v>
      </c>
      <c r="AZ5" s="12"/>
      <c r="BA5" s="12"/>
      <c r="BB5" s="12"/>
      <c r="BC5" s="12"/>
      <c r="BD5" s="12"/>
      <c r="BE5" s="2"/>
      <c r="BF5" s="2"/>
      <c r="BG5" s="12"/>
      <c r="BH5" s="12"/>
      <c r="BI5" s="2" t="s">
        <v>1658</v>
      </c>
    </row>
    <row r="6" spans="1:61" x14ac:dyDescent="0.25">
      <c r="A6" s="2" t="s">
        <v>1173</v>
      </c>
      <c r="B6" s="2">
        <v>1</v>
      </c>
      <c r="C6" s="12"/>
      <c r="D6" s="2" t="s">
        <v>3</v>
      </c>
      <c r="E6" s="12"/>
      <c r="F6" s="2" t="s">
        <v>3</v>
      </c>
      <c r="G6" s="2"/>
      <c r="H6" s="2" t="s">
        <v>1630</v>
      </c>
      <c r="I6" s="14" t="s">
        <v>1725</v>
      </c>
      <c r="J6" s="2"/>
      <c r="K6" s="12"/>
      <c r="L6" s="12"/>
      <c r="M6" s="12"/>
      <c r="N6" s="12"/>
      <c r="O6" s="12"/>
      <c r="P6" s="12"/>
      <c r="Q6" s="2" t="s">
        <v>1615</v>
      </c>
      <c r="R6" s="2" t="s">
        <v>1616</v>
      </c>
      <c r="S6" s="2" t="s">
        <v>1703</v>
      </c>
      <c r="T6" s="12" t="s">
        <v>1673</v>
      </c>
      <c r="U6" s="12" t="s">
        <v>1748</v>
      </c>
      <c r="V6" s="12"/>
      <c r="W6" s="12"/>
      <c r="X6" s="20" t="s">
        <v>1750</v>
      </c>
      <c r="Y6" s="20" t="s">
        <v>1631</v>
      </c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5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2" t="s">
        <v>3</v>
      </c>
      <c r="AZ6" s="12"/>
      <c r="BA6" s="12"/>
      <c r="BB6" s="12"/>
      <c r="BC6" s="12"/>
      <c r="BD6" s="12"/>
      <c r="BE6" s="2"/>
      <c r="BF6" s="12"/>
      <c r="BG6" s="12"/>
      <c r="BH6" s="12"/>
      <c r="BI6" s="2" t="s">
        <v>1658</v>
      </c>
    </row>
    <row r="7" spans="1:61" x14ac:dyDescent="0.25">
      <c r="A7" s="2" t="s">
        <v>1227</v>
      </c>
      <c r="B7" s="2">
        <v>1</v>
      </c>
      <c r="C7" s="12"/>
      <c r="D7" s="2" t="s">
        <v>3</v>
      </c>
      <c r="E7" s="12"/>
      <c r="F7" s="2" t="s">
        <v>3</v>
      </c>
      <c r="G7" s="2"/>
      <c r="H7" s="2" t="s">
        <v>1636</v>
      </c>
      <c r="I7" s="14" t="s">
        <v>1725</v>
      </c>
      <c r="J7" s="2"/>
      <c r="K7" s="12"/>
      <c r="L7" s="12"/>
      <c r="M7" s="12"/>
      <c r="N7" s="12"/>
      <c r="O7" s="12"/>
      <c r="P7" s="12"/>
      <c r="Q7" s="2" t="s">
        <v>1615</v>
      </c>
      <c r="R7" s="2" t="s">
        <v>1616</v>
      </c>
      <c r="S7" s="2" t="s">
        <v>1703</v>
      </c>
      <c r="T7" s="12" t="s">
        <v>1673</v>
      </c>
      <c r="U7" s="12" t="s">
        <v>1764</v>
      </c>
      <c r="V7" s="12"/>
      <c r="W7" s="12"/>
      <c r="X7" s="20"/>
      <c r="Y7" s="20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5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2" t="s">
        <v>3</v>
      </c>
      <c r="AZ7" s="12"/>
      <c r="BA7" s="12"/>
      <c r="BB7" s="12"/>
      <c r="BC7" s="12"/>
      <c r="BD7" s="12"/>
      <c r="BE7" s="2"/>
      <c r="BF7" s="12"/>
      <c r="BG7" s="12"/>
      <c r="BH7" s="12"/>
      <c r="BI7" s="2" t="s">
        <v>1658</v>
      </c>
    </row>
    <row r="8" spans="1:61" x14ac:dyDescent="0.25">
      <c r="A8" s="2" t="s">
        <v>1228</v>
      </c>
      <c r="B8" s="2">
        <v>1</v>
      </c>
      <c r="C8" s="12"/>
      <c r="D8" s="2" t="s">
        <v>3</v>
      </c>
      <c r="E8" s="12"/>
      <c r="F8" s="2" t="s">
        <v>3</v>
      </c>
      <c r="G8" s="2"/>
      <c r="H8" s="2" t="s">
        <v>1636</v>
      </c>
      <c r="I8" s="14" t="s">
        <v>1725</v>
      </c>
      <c r="J8" s="2"/>
      <c r="K8" s="12"/>
      <c r="L8" s="12"/>
      <c r="M8" s="12"/>
      <c r="N8" s="12"/>
      <c r="O8" s="12"/>
      <c r="P8" s="12"/>
      <c r="Q8" s="2" t="s">
        <v>1615</v>
      </c>
      <c r="R8" s="2" t="s">
        <v>1616</v>
      </c>
      <c r="S8" s="2" t="s">
        <v>1703</v>
      </c>
      <c r="T8" s="12" t="s">
        <v>1673</v>
      </c>
      <c r="U8" s="12" t="s">
        <v>1767</v>
      </c>
      <c r="V8" s="12"/>
      <c r="W8" s="12"/>
      <c r="X8" s="20"/>
      <c r="Y8" s="20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5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2" t="s">
        <v>3</v>
      </c>
      <c r="AZ8" s="12"/>
      <c r="BA8" s="12"/>
      <c r="BB8" s="12"/>
      <c r="BC8" s="12"/>
      <c r="BD8" s="12"/>
      <c r="BE8" s="2"/>
      <c r="BF8" s="12"/>
      <c r="BG8" s="12"/>
      <c r="BH8" s="12"/>
      <c r="BI8" s="2" t="s">
        <v>1658</v>
      </c>
    </row>
    <row r="9" spans="1:61" x14ac:dyDescent="0.25">
      <c r="A9" s="2" t="s">
        <v>1231</v>
      </c>
      <c r="B9" s="4">
        <v>1</v>
      </c>
      <c r="C9" s="12"/>
      <c r="D9" s="2" t="s">
        <v>3</v>
      </c>
      <c r="E9" s="2"/>
      <c r="F9" s="2" t="s">
        <v>3</v>
      </c>
      <c r="G9" s="2"/>
      <c r="H9" s="2" t="s">
        <v>1614</v>
      </c>
      <c r="I9" s="14"/>
      <c r="J9" s="14"/>
      <c r="K9" s="12"/>
      <c r="L9" s="126"/>
      <c r="M9" s="126"/>
      <c r="N9" s="12"/>
      <c r="O9" s="12"/>
      <c r="P9" s="12"/>
      <c r="Q9" s="2" t="s">
        <v>1615</v>
      </c>
      <c r="R9" s="2" t="s">
        <v>1616</v>
      </c>
      <c r="S9" s="2" t="s">
        <v>1703</v>
      </c>
      <c r="T9" s="2" t="s">
        <v>961</v>
      </c>
      <c r="U9" s="2" t="s">
        <v>968</v>
      </c>
      <c r="V9" s="2"/>
      <c r="W9" s="2"/>
      <c r="X9" s="2"/>
      <c r="Y9" s="2"/>
      <c r="Z9" s="2" t="s">
        <v>1617</v>
      </c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5"/>
      <c r="AL9" s="12"/>
      <c r="AM9" s="12"/>
      <c r="AN9" s="12"/>
      <c r="AO9" s="12"/>
      <c r="AP9" s="12"/>
      <c r="AQ9" s="12"/>
      <c r="AR9" s="12"/>
      <c r="AS9" s="12"/>
      <c r="AT9" s="12"/>
      <c r="AU9" s="12" t="s">
        <v>308</v>
      </c>
      <c r="AV9" s="12">
        <v>300</v>
      </c>
      <c r="AW9" s="12"/>
      <c r="AX9" s="12"/>
      <c r="AY9" s="2" t="s">
        <v>3</v>
      </c>
      <c r="AZ9" s="2"/>
      <c r="BA9" s="12"/>
      <c r="BB9" s="12"/>
      <c r="BC9" s="12"/>
      <c r="BD9" s="12"/>
      <c r="BE9" s="12"/>
      <c r="BF9" s="12"/>
      <c r="BG9" s="12"/>
      <c r="BH9" s="12"/>
      <c r="BI9" s="2" t="s">
        <v>1658</v>
      </c>
    </row>
    <row r="10" spans="1:61" x14ac:dyDescent="0.25">
      <c r="A10" s="2" t="s">
        <v>1359</v>
      </c>
      <c r="B10" s="4">
        <v>1</v>
      </c>
      <c r="C10" s="12"/>
      <c r="D10" s="2" t="s">
        <v>3</v>
      </c>
      <c r="E10" s="2"/>
      <c r="F10" s="2" t="s">
        <v>3</v>
      </c>
      <c r="G10" s="2"/>
      <c r="H10" s="2" t="s">
        <v>1614</v>
      </c>
      <c r="I10" s="14"/>
      <c r="J10" s="14"/>
      <c r="K10" s="12"/>
      <c r="L10" s="126"/>
      <c r="M10" s="126"/>
      <c r="N10" s="12"/>
      <c r="O10" s="12"/>
      <c r="P10" s="12"/>
      <c r="Q10" s="2" t="s">
        <v>1615</v>
      </c>
      <c r="R10" s="2" t="s">
        <v>1616</v>
      </c>
      <c r="S10" s="2" t="s">
        <v>1703</v>
      </c>
      <c r="T10" s="2" t="s">
        <v>961</v>
      </c>
      <c r="U10" s="2" t="s">
        <v>968</v>
      </c>
      <c r="V10" s="2"/>
      <c r="W10" s="2"/>
      <c r="X10" s="2"/>
      <c r="Y10" s="2"/>
      <c r="Z10" s="2" t="s">
        <v>1617</v>
      </c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5"/>
      <c r="AL10" s="12"/>
      <c r="AM10" s="12"/>
      <c r="AN10" s="12"/>
      <c r="AO10" s="12"/>
      <c r="AP10" s="12"/>
      <c r="AQ10" s="12"/>
      <c r="AR10" s="12"/>
      <c r="AS10" s="12"/>
      <c r="AT10" s="12"/>
      <c r="AU10" s="12" t="s">
        <v>308</v>
      </c>
      <c r="AV10" s="12">
        <v>300</v>
      </c>
      <c r="AW10" s="12"/>
      <c r="AX10" s="12"/>
      <c r="AY10" s="2" t="s">
        <v>3</v>
      </c>
      <c r="AZ10" s="2"/>
      <c r="BA10" s="12"/>
      <c r="BB10" s="12"/>
      <c r="BC10" s="12"/>
      <c r="BD10" s="12"/>
      <c r="BE10" s="12"/>
      <c r="BF10" s="12"/>
      <c r="BG10" s="12"/>
      <c r="BH10" s="12"/>
      <c r="BI10" s="2" t="s">
        <v>1658</v>
      </c>
    </row>
    <row r="11" spans="1:61" x14ac:dyDescent="0.25">
      <c r="A11" s="2" t="s">
        <v>1359</v>
      </c>
      <c r="B11" s="4">
        <v>2</v>
      </c>
      <c r="C11" s="12"/>
      <c r="D11" s="2" t="s">
        <v>3</v>
      </c>
      <c r="E11" s="2"/>
      <c r="F11" s="2" t="s">
        <v>3</v>
      </c>
      <c r="G11" s="2"/>
      <c r="H11" s="2" t="s">
        <v>1714</v>
      </c>
      <c r="I11" s="14"/>
      <c r="J11" s="14"/>
      <c r="K11" s="12"/>
      <c r="L11" s="126"/>
      <c r="M11" s="126"/>
      <c r="N11" s="12"/>
      <c r="O11" s="12"/>
      <c r="P11" s="12"/>
      <c r="Q11" s="2" t="s">
        <v>1615</v>
      </c>
      <c r="R11" s="2" t="s">
        <v>1616</v>
      </c>
      <c r="S11" s="2" t="s">
        <v>1703</v>
      </c>
      <c r="T11" s="2" t="s">
        <v>1718</v>
      </c>
      <c r="U11" s="2"/>
      <c r="V11" s="2"/>
      <c r="W11" s="2"/>
      <c r="X11" s="2"/>
      <c r="Y11" s="2"/>
      <c r="Z11" s="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5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2" t="s">
        <v>3</v>
      </c>
      <c r="AZ11" s="2"/>
      <c r="BA11" s="12"/>
      <c r="BB11" s="12"/>
      <c r="BC11" s="12"/>
      <c r="BD11" s="12"/>
      <c r="BE11" s="12"/>
      <c r="BF11" s="12"/>
      <c r="BG11" s="12"/>
      <c r="BH11" s="12"/>
      <c r="BI11" s="2" t="s">
        <v>1658</v>
      </c>
    </row>
    <row r="12" spans="1:61" x14ac:dyDescent="0.25">
      <c r="A12" s="2" t="s">
        <v>2016</v>
      </c>
      <c r="B12" s="2">
        <v>1</v>
      </c>
      <c r="C12" s="12"/>
      <c r="D12" s="2" t="s">
        <v>3</v>
      </c>
      <c r="E12" s="2"/>
      <c r="F12" s="2" t="s">
        <v>3</v>
      </c>
      <c r="G12" s="2"/>
      <c r="H12" s="2" t="s">
        <v>1640</v>
      </c>
      <c r="I12" s="14"/>
      <c r="J12" s="14" t="s">
        <v>1702</v>
      </c>
      <c r="K12" s="12"/>
      <c r="L12" s="12"/>
      <c r="M12" s="12"/>
      <c r="N12" s="12"/>
      <c r="O12" s="2" t="s">
        <v>3</v>
      </c>
      <c r="P12" s="12"/>
      <c r="Q12" s="2" t="s">
        <v>1615</v>
      </c>
      <c r="R12" s="2" t="s">
        <v>1616</v>
      </c>
      <c r="S12" s="2" t="s">
        <v>1703</v>
      </c>
      <c r="T12" s="2" t="s">
        <v>1718</v>
      </c>
      <c r="U12" s="12" t="s">
        <v>1728</v>
      </c>
      <c r="V12" s="20" t="s">
        <v>1733</v>
      </c>
      <c r="W12" s="12" t="s">
        <v>970</v>
      </c>
      <c r="X12" s="12"/>
      <c r="Y12" s="12"/>
      <c r="Z12" s="12"/>
      <c r="AA12" s="2" t="s">
        <v>1641</v>
      </c>
      <c r="AB12" s="12"/>
      <c r="AC12" s="12"/>
      <c r="AD12" s="12"/>
      <c r="AE12" s="12"/>
      <c r="AF12" s="12"/>
      <c r="AG12" s="12"/>
      <c r="AH12" s="12"/>
      <c r="AI12" s="12"/>
      <c r="AJ12" s="12"/>
      <c r="AK12" s="125"/>
      <c r="AL12" s="12"/>
      <c r="AM12" s="12"/>
      <c r="AN12" s="12"/>
      <c r="AO12" s="12"/>
      <c r="AP12" s="12"/>
      <c r="AQ12" s="12"/>
      <c r="AR12" s="12"/>
      <c r="AS12" s="12"/>
      <c r="AT12" s="12"/>
      <c r="AU12" s="12" t="s">
        <v>308</v>
      </c>
      <c r="AV12" s="12">
        <v>250</v>
      </c>
      <c r="AW12" s="12" t="s">
        <v>308</v>
      </c>
      <c r="AX12" s="12" t="s">
        <v>308</v>
      </c>
      <c r="AY12" s="2" t="s">
        <v>3</v>
      </c>
      <c r="AZ12" s="12"/>
      <c r="BA12" s="12"/>
      <c r="BB12" s="12"/>
      <c r="BC12" s="12"/>
      <c r="BD12" s="12"/>
      <c r="BE12" s="2"/>
      <c r="BF12" s="2"/>
      <c r="BG12" s="12"/>
      <c r="BH12" s="12"/>
      <c r="BI12" s="2" t="s">
        <v>1658</v>
      </c>
    </row>
    <row r="13" spans="1:61" x14ac:dyDescent="0.25">
      <c r="A13" s="2" t="s">
        <v>2017</v>
      </c>
      <c r="B13" s="2">
        <v>1</v>
      </c>
      <c r="C13" s="12"/>
      <c r="D13" s="2" t="s">
        <v>3</v>
      </c>
      <c r="E13" s="12"/>
      <c r="F13" s="2" t="s">
        <v>3</v>
      </c>
      <c r="G13" s="2"/>
      <c r="H13" s="2" t="s">
        <v>1630</v>
      </c>
      <c r="I13" s="14"/>
      <c r="J13" s="2"/>
      <c r="K13" s="12"/>
      <c r="L13" s="12"/>
      <c r="M13" s="12"/>
      <c r="N13" s="12"/>
      <c r="O13" s="12"/>
      <c r="P13" s="12"/>
      <c r="Q13" s="2" t="s">
        <v>1615</v>
      </c>
      <c r="R13" s="2" t="s">
        <v>1616</v>
      </c>
      <c r="S13" s="2" t="s">
        <v>1703</v>
      </c>
      <c r="T13" s="12" t="s">
        <v>1673</v>
      </c>
      <c r="U13" s="12"/>
      <c r="V13" s="12"/>
      <c r="W13" s="12"/>
      <c r="X13" s="20" t="s">
        <v>1750</v>
      </c>
      <c r="Y13" s="20" t="s">
        <v>1631</v>
      </c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5"/>
      <c r="AL13" s="12"/>
      <c r="AM13" s="12"/>
      <c r="AN13" s="12"/>
      <c r="AO13" s="12"/>
      <c r="AP13" s="12"/>
      <c r="AQ13" s="12"/>
      <c r="AR13" s="12"/>
      <c r="AS13" s="12"/>
      <c r="AT13" s="12"/>
      <c r="AU13" s="12" t="s">
        <v>308</v>
      </c>
      <c r="AV13" s="12">
        <v>250</v>
      </c>
      <c r="AW13" s="12" t="s">
        <v>308</v>
      </c>
      <c r="AX13" s="12" t="s">
        <v>308</v>
      </c>
      <c r="AY13" s="2" t="s">
        <v>3</v>
      </c>
      <c r="AZ13" s="12"/>
      <c r="BA13" s="12"/>
      <c r="BB13" s="12"/>
      <c r="BC13" s="12"/>
      <c r="BD13" s="12"/>
      <c r="BE13" s="2"/>
      <c r="BF13" s="12"/>
      <c r="BG13" s="12"/>
      <c r="BH13" s="12"/>
      <c r="BI13" s="2" t="s">
        <v>1658</v>
      </c>
    </row>
    <row r="14" spans="1:61" x14ac:dyDescent="0.25">
      <c r="A14" s="2" t="s">
        <v>2018</v>
      </c>
      <c r="B14" s="2">
        <v>1</v>
      </c>
      <c r="C14" s="12"/>
      <c r="D14" s="2" t="s">
        <v>3</v>
      </c>
      <c r="E14" s="12"/>
      <c r="F14" s="2" t="s">
        <v>3</v>
      </c>
      <c r="G14" s="2"/>
      <c r="H14" s="2" t="s">
        <v>1636</v>
      </c>
      <c r="I14" s="14"/>
      <c r="J14" s="2"/>
      <c r="K14" s="12"/>
      <c r="L14" s="12"/>
      <c r="M14" s="12"/>
      <c r="N14" s="12"/>
      <c r="O14" s="12"/>
      <c r="P14" s="12"/>
      <c r="Q14" s="2" t="s">
        <v>1615</v>
      </c>
      <c r="R14" s="2" t="s">
        <v>1616</v>
      </c>
      <c r="S14" s="2" t="s">
        <v>1703</v>
      </c>
      <c r="T14" s="12" t="s">
        <v>1673</v>
      </c>
      <c r="U14" s="12" t="s">
        <v>1764</v>
      </c>
      <c r="V14" s="12"/>
      <c r="W14" s="12"/>
      <c r="X14" s="20"/>
      <c r="Y14" s="20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5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2" t="s">
        <v>3</v>
      </c>
      <c r="AZ14" s="12"/>
      <c r="BA14" s="12"/>
      <c r="BB14" s="12"/>
      <c r="BC14" s="12"/>
      <c r="BD14" s="12"/>
      <c r="BE14" s="2"/>
      <c r="BF14" s="12"/>
      <c r="BG14" s="12"/>
      <c r="BH14" s="12"/>
      <c r="BI14" s="2" t="s">
        <v>1658</v>
      </c>
    </row>
    <row r="15" spans="1:61" x14ac:dyDescent="0.25">
      <c r="A15" s="2" t="s">
        <v>2019</v>
      </c>
      <c r="B15" s="2">
        <v>1</v>
      </c>
      <c r="C15" s="12"/>
      <c r="D15" s="2" t="s">
        <v>3</v>
      </c>
      <c r="E15" s="12"/>
      <c r="F15" s="2" t="s">
        <v>3</v>
      </c>
      <c r="G15" s="2"/>
      <c r="H15" s="2" t="s">
        <v>1636</v>
      </c>
      <c r="I15" s="14"/>
      <c r="J15" s="2"/>
      <c r="K15" s="12"/>
      <c r="L15" s="12"/>
      <c r="M15" s="12"/>
      <c r="N15" s="12"/>
      <c r="O15" s="12"/>
      <c r="P15" s="12"/>
      <c r="Q15" s="2" t="s">
        <v>1615</v>
      </c>
      <c r="R15" s="2" t="s">
        <v>1616</v>
      </c>
      <c r="S15" s="2" t="s">
        <v>1703</v>
      </c>
      <c r="T15" s="12" t="s">
        <v>1673</v>
      </c>
      <c r="U15" s="12" t="s">
        <v>1767</v>
      </c>
      <c r="V15" s="12"/>
      <c r="W15" s="12"/>
      <c r="X15" s="20"/>
      <c r="Y15" s="20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5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2" t="s">
        <v>3</v>
      </c>
      <c r="AZ15" s="12"/>
      <c r="BA15" s="12"/>
      <c r="BB15" s="12"/>
      <c r="BC15" s="12"/>
      <c r="BD15" s="12"/>
      <c r="BE15" s="2"/>
      <c r="BF15" s="12"/>
      <c r="BG15" s="12"/>
      <c r="BH15" s="12"/>
      <c r="BI15" s="2" t="s">
        <v>1658</v>
      </c>
    </row>
    <row r="16" spans="1:61" x14ac:dyDescent="0.25">
      <c r="A16" s="2" t="s">
        <v>1610</v>
      </c>
      <c r="B16" s="4">
        <v>1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5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t="s">
        <v>1611</v>
      </c>
      <c r="BH16" s="12"/>
      <c r="BI16" s="12"/>
    </row>
    <row r="17" spans="1:61" x14ac:dyDescent="0.25">
      <c r="A17" s="2" t="s">
        <v>1612</v>
      </c>
      <c r="B17" s="2">
        <v>1</v>
      </c>
      <c r="C17" s="2" t="str">
        <f>BG16</f>
        <v>46KDAZT6761</v>
      </c>
      <c r="D17" s="2" t="s">
        <v>3</v>
      </c>
      <c r="E17" s="2"/>
      <c r="F17" s="2" t="s">
        <v>3</v>
      </c>
      <c r="G17" s="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5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2" t="s">
        <v>1613</v>
      </c>
      <c r="BF17" s="12"/>
      <c r="BG17" s="12"/>
      <c r="BH17" s="12"/>
      <c r="BI17" s="12"/>
    </row>
    <row r="18" spans="1:61" x14ac:dyDescent="0.25">
      <c r="A18" s="2" t="s">
        <v>1612</v>
      </c>
      <c r="B18" s="2">
        <v>2</v>
      </c>
      <c r="C18" s="12"/>
      <c r="D18" s="12"/>
      <c r="E18" s="12"/>
      <c r="F18" s="12"/>
      <c r="G18" s="12"/>
      <c r="H18" s="2" t="s">
        <v>1614</v>
      </c>
      <c r="I18" s="2"/>
      <c r="J18" s="2"/>
      <c r="K18" s="12"/>
      <c r="L18" s="12"/>
      <c r="M18" s="12"/>
      <c r="N18" s="12"/>
      <c r="O18" s="12"/>
      <c r="P18" s="12"/>
      <c r="Q18" s="2" t="s">
        <v>1615</v>
      </c>
      <c r="R18" s="2" t="s">
        <v>1616</v>
      </c>
      <c r="S18" s="2"/>
      <c r="T18" s="2" t="s">
        <v>961</v>
      </c>
      <c r="U18" s="2" t="s">
        <v>968</v>
      </c>
      <c r="V18" s="2"/>
      <c r="W18" s="2"/>
      <c r="X18" s="2"/>
      <c r="Y18" s="2"/>
      <c r="Z18" s="2" t="s">
        <v>1617</v>
      </c>
      <c r="AA18" s="12"/>
      <c r="AB18" s="2" t="s">
        <v>3</v>
      </c>
      <c r="AC18" s="12"/>
      <c r="AD18" s="12"/>
      <c r="AE18" s="12"/>
      <c r="AF18" s="12"/>
      <c r="AG18" s="12"/>
      <c r="AH18" s="12"/>
      <c r="AI18" s="12"/>
      <c r="AJ18" s="2"/>
      <c r="AK18" s="125"/>
      <c r="AL18" s="2" t="s">
        <v>3</v>
      </c>
      <c r="AM18" s="12" t="s">
        <v>3</v>
      </c>
      <c r="AN18" s="2">
        <v>5</v>
      </c>
      <c r="AO18" s="2" t="s">
        <v>3</v>
      </c>
      <c r="AP18" s="2">
        <v>5</v>
      </c>
      <c r="AQ18" s="12"/>
      <c r="AR18" s="12"/>
      <c r="AS18" s="12"/>
      <c r="AT18" s="12"/>
      <c r="AU18" s="12"/>
      <c r="AV18" s="12"/>
      <c r="AW18" s="12"/>
      <c r="AX18" s="12"/>
      <c r="AY18" s="2" t="s">
        <v>3</v>
      </c>
      <c r="AZ18" s="2"/>
      <c r="BA18" s="12"/>
      <c r="BB18" s="12"/>
      <c r="BC18" s="12"/>
      <c r="BD18" s="12"/>
      <c r="BE18" s="2" t="s">
        <v>1618</v>
      </c>
      <c r="BF18" s="12"/>
      <c r="BG18" s="12"/>
      <c r="BH18" s="12"/>
      <c r="BI18" s="12"/>
    </row>
    <row r="19" spans="1:61" x14ac:dyDescent="0.25">
      <c r="A19" s="2" t="s">
        <v>1619</v>
      </c>
      <c r="B19" s="4">
        <v>1</v>
      </c>
      <c r="C19" s="2" t="str">
        <f>BG16</f>
        <v>46KDAZT6761</v>
      </c>
      <c r="D19" s="2" t="s">
        <v>3</v>
      </c>
      <c r="E19" s="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5"/>
      <c r="AL19" s="12"/>
      <c r="AM19" s="12"/>
      <c r="AN19" s="12"/>
      <c r="AO19" s="12"/>
      <c r="AP19" s="12"/>
      <c r="AQ19" s="2" t="s">
        <v>1614</v>
      </c>
      <c r="AR19" s="2"/>
      <c r="AS19" s="2"/>
      <c r="AT19" s="2"/>
      <c r="AU19" s="2"/>
      <c r="AV19" s="2"/>
      <c r="AW19" s="2"/>
      <c r="AX19" s="2"/>
      <c r="AY19" s="12"/>
      <c r="AZ19" s="12"/>
      <c r="BA19" s="2" t="s">
        <v>3</v>
      </c>
      <c r="BB19" s="12"/>
      <c r="BC19" s="2" t="s">
        <v>1620</v>
      </c>
      <c r="BD19" s="2" t="s">
        <v>3</v>
      </c>
      <c r="BE19" s="2" t="s">
        <v>1621</v>
      </c>
      <c r="BF19" s="12"/>
      <c r="BG19" s="12"/>
      <c r="BH19" s="12"/>
      <c r="BI19" s="12"/>
    </row>
    <row r="20" spans="1:61" x14ac:dyDescent="0.25">
      <c r="A20" s="2" t="s">
        <v>1622</v>
      </c>
      <c r="B20" s="4">
        <v>1</v>
      </c>
      <c r="C20" s="2" t="str">
        <f>BG20</f>
        <v>46KDAZT6764</v>
      </c>
      <c r="D20" s="2" t="s">
        <v>3</v>
      </c>
      <c r="E20" s="2"/>
      <c r="F20" s="2" t="s">
        <v>3</v>
      </c>
      <c r="G20" s="2"/>
      <c r="H20" s="2" t="s">
        <v>1614</v>
      </c>
      <c r="I20" s="2"/>
      <c r="J20" s="2"/>
      <c r="K20" s="12"/>
      <c r="L20" s="14" t="s">
        <v>1623</v>
      </c>
      <c r="M20" s="12"/>
      <c r="N20" s="12"/>
      <c r="O20" s="12"/>
      <c r="P20" s="12"/>
      <c r="Q20" s="12"/>
      <c r="R20" s="2" t="s">
        <v>1616</v>
      </c>
      <c r="S20" s="2"/>
      <c r="T20" s="2" t="s">
        <v>961</v>
      </c>
      <c r="U20" s="2" t="s">
        <v>968</v>
      </c>
      <c r="V20" s="2"/>
      <c r="W20" s="2"/>
      <c r="X20" s="2"/>
      <c r="Y20" s="2"/>
      <c r="Z20" s="2" t="s">
        <v>1617</v>
      </c>
      <c r="AA20" s="12"/>
      <c r="AB20" s="2"/>
      <c r="AC20" s="12"/>
      <c r="AD20" s="12"/>
      <c r="AE20" s="12"/>
      <c r="AF20" s="12"/>
      <c r="AG20" s="12"/>
      <c r="AH20" s="12"/>
      <c r="AI20" s="12"/>
      <c r="AJ20" s="2"/>
      <c r="AK20" s="125"/>
      <c r="AL20" s="2"/>
      <c r="AM20" s="2"/>
      <c r="AN20" s="2"/>
      <c r="AO20" s="2"/>
      <c r="AP20" s="2"/>
      <c r="AQ20" s="12"/>
      <c r="AR20" s="12"/>
      <c r="AS20" s="12"/>
      <c r="AT20" s="12"/>
      <c r="AU20" s="12"/>
      <c r="AV20" s="12"/>
      <c r="AW20" s="12"/>
      <c r="AX20" s="12"/>
      <c r="AY20" s="2" t="s">
        <v>3</v>
      </c>
      <c r="AZ20" s="2"/>
      <c r="BA20" s="12"/>
      <c r="BB20" s="12"/>
      <c r="BC20" s="12"/>
      <c r="BD20" s="12"/>
      <c r="BE20" s="12" t="s">
        <v>1624</v>
      </c>
      <c r="BF20" s="12" t="s">
        <v>3</v>
      </c>
      <c r="BG20" t="s">
        <v>1625</v>
      </c>
      <c r="BH20" s="12"/>
      <c r="BI20" s="12"/>
    </row>
    <row r="21" spans="1:61" x14ac:dyDescent="0.25">
      <c r="A21" s="2" t="s">
        <v>1622</v>
      </c>
      <c r="B21" s="4">
        <v>2</v>
      </c>
      <c r="C21" s="12"/>
      <c r="D21" s="12"/>
      <c r="E21" s="12"/>
      <c r="F21" s="2" t="s">
        <v>3</v>
      </c>
      <c r="G21" s="2"/>
      <c r="H21" s="2" t="s">
        <v>1614</v>
      </c>
      <c r="I21" s="2"/>
      <c r="J21" s="2"/>
      <c r="K21" s="12"/>
      <c r="L21" s="12"/>
      <c r="M21" s="126" t="s">
        <v>1626</v>
      </c>
      <c r="N21" s="12"/>
      <c r="O21" s="12"/>
      <c r="P21" s="12"/>
      <c r="Q21" s="2" t="s">
        <v>1615</v>
      </c>
      <c r="R21" s="12"/>
      <c r="S21" s="12"/>
      <c r="T21" s="2" t="s">
        <v>961</v>
      </c>
      <c r="U21" s="2" t="s">
        <v>968</v>
      </c>
      <c r="V21" s="2"/>
      <c r="W21" s="2"/>
      <c r="X21" s="2"/>
      <c r="Y21" s="2"/>
      <c r="Z21" s="2" t="s">
        <v>1617</v>
      </c>
      <c r="AA21" s="12"/>
      <c r="AB21" s="2"/>
      <c r="AC21" s="12"/>
      <c r="AD21" s="12"/>
      <c r="AE21" s="12"/>
      <c r="AF21" s="12"/>
      <c r="AG21" s="12"/>
      <c r="AH21" s="12"/>
      <c r="AI21" s="12"/>
      <c r="AJ21" s="2"/>
      <c r="AK21" s="125"/>
      <c r="AL21" s="2"/>
      <c r="AM21" s="2"/>
      <c r="AN21" s="2"/>
      <c r="AO21" s="2"/>
      <c r="AP21" s="2"/>
      <c r="AQ21" s="12"/>
      <c r="AR21" s="12"/>
      <c r="AS21" s="12"/>
      <c r="AT21" s="12"/>
      <c r="AU21" s="12"/>
      <c r="AV21" s="12"/>
      <c r="AW21" s="12"/>
      <c r="AX21" s="12"/>
      <c r="AY21" s="2" t="s">
        <v>3</v>
      </c>
      <c r="AZ21" s="2"/>
      <c r="BA21" s="12"/>
      <c r="BB21" s="12"/>
      <c r="BC21" s="12"/>
      <c r="BD21" s="12"/>
      <c r="BE21" s="12" t="s">
        <v>1627</v>
      </c>
      <c r="BF21" s="12"/>
      <c r="BG21" t="s">
        <v>1625</v>
      </c>
      <c r="BH21" s="12"/>
      <c r="BI21" s="12"/>
    </row>
    <row r="22" spans="1:61" s="128" customFormat="1" ht="60" x14ac:dyDescent="0.25">
      <c r="A22" s="125" t="s">
        <v>1628</v>
      </c>
      <c r="B22" s="125">
        <v>1</v>
      </c>
      <c r="C22" s="125"/>
      <c r="D22" s="125" t="s">
        <v>3</v>
      </c>
      <c r="E22" s="125"/>
      <c r="F22" s="125" t="s">
        <v>3</v>
      </c>
      <c r="G22" s="127" t="s">
        <v>1629</v>
      </c>
      <c r="H22" s="125" t="s">
        <v>1630</v>
      </c>
      <c r="I22" s="125"/>
      <c r="J22" s="125"/>
      <c r="K22" s="125"/>
      <c r="L22" s="125"/>
      <c r="M22" s="125"/>
      <c r="N22" s="125" t="s">
        <v>961</v>
      </c>
      <c r="O22" s="125"/>
      <c r="P22" s="125">
        <v>2000</v>
      </c>
      <c r="Q22" s="125" t="s">
        <v>1631</v>
      </c>
      <c r="R22" s="125" t="s">
        <v>1632</v>
      </c>
      <c r="S22" s="125"/>
      <c r="T22" s="125"/>
      <c r="U22" s="125"/>
      <c r="V22" s="125"/>
      <c r="W22" s="125"/>
      <c r="X22" s="125"/>
      <c r="Y22" s="125"/>
      <c r="Z22" s="125"/>
      <c r="AA22" s="125"/>
      <c r="AB22" s="125" t="s">
        <v>3</v>
      </c>
      <c r="AC22" s="125">
        <v>5</v>
      </c>
      <c r="AD22" s="125">
        <v>5</v>
      </c>
      <c r="AE22" s="125">
        <v>5</v>
      </c>
      <c r="AF22" s="125">
        <v>5</v>
      </c>
      <c r="AG22" s="125">
        <v>5</v>
      </c>
      <c r="AH22" s="125">
        <v>5</v>
      </c>
      <c r="AI22" s="125"/>
      <c r="AJ22" s="128">
        <v>5</v>
      </c>
      <c r="AK22" s="125" t="s">
        <v>3</v>
      </c>
      <c r="AL22" s="125"/>
      <c r="AM22" s="125"/>
      <c r="AN22" s="125"/>
      <c r="AO22" s="125"/>
      <c r="AP22" s="125"/>
      <c r="AQ22" s="125"/>
      <c r="AS22" s="125"/>
      <c r="AT22" s="125"/>
      <c r="AU22" s="125"/>
      <c r="AV22" s="125"/>
      <c r="AW22" s="125"/>
      <c r="AX22" s="125"/>
      <c r="AY22" s="125" t="s">
        <v>3</v>
      </c>
      <c r="AZ22" s="125"/>
      <c r="BA22" s="125"/>
      <c r="BB22" s="125"/>
      <c r="BC22" s="125" t="s">
        <v>1633</v>
      </c>
      <c r="BD22" s="125"/>
      <c r="BF22" s="125"/>
      <c r="BG22" s="125"/>
      <c r="BH22" s="129" t="s">
        <v>1634</v>
      </c>
    </row>
    <row r="23" spans="1:61" s="128" customFormat="1" x14ac:dyDescent="0.25">
      <c r="A23" s="125" t="s">
        <v>1628</v>
      </c>
      <c r="B23" s="125">
        <v>2</v>
      </c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 t="s">
        <v>3</v>
      </c>
      <c r="AC23" s="125"/>
      <c r="AD23" s="125"/>
      <c r="AE23" s="125"/>
      <c r="AF23" s="125"/>
      <c r="AG23" s="125"/>
      <c r="AH23" s="125"/>
      <c r="AI23" s="125"/>
      <c r="AK23" s="125"/>
      <c r="AL23" s="125"/>
      <c r="AM23" s="125"/>
      <c r="AN23" s="125">
        <v>5</v>
      </c>
      <c r="AO23" s="125"/>
      <c r="AP23" s="125">
        <v>5</v>
      </c>
      <c r="AQ23" s="125"/>
      <c r="AS23" s="125"/>
      <c r="AT23" s="125"/>
      <c r="AU23" s="125"/>
      <c r="AV23" s="125"/>
      <c r="AW23" s="125"/>
      <c r="AX23" s="125"/>
      <c r="AY23" s="125" t="s">
        <v>3</v>
      </c>
      <c r="AZ23" s="125"/>
      <c r="BA23" s="125"/>
      <c r="BB23" s="125" t="s">
        <v>3</v>
      </c>
      <c r="BC23" s="125"/>
      <c r="BD23" s="125"/>
      <c r="BE23" s="125"/>
      <c r="BF23" s="125"/>
      <c r="BG23" s="125"/>
    </row>
    <row r="24" spans="1:61" x14ac:dyDescent="0.25">
      <c r="A24" s="2" t="s">
        <v>1635</v>
      </c>
      <c r="B24" s="2">
        <v>1</v>
      </c>
      <c r="C24" s="12"/>
      <c r="D24" s="2" t="s">
        <v>3</v>
      </c>
      <c r="E24" s="2"/>
      <c r="F24" s="2" t="s">
        <v>3</v>
      </c>
      <c r="G24" s="2"/>
      <c r="H24" s="2" t="s">
        <v>1636</v>
      </c>
      <c r="I24" s="2"/>
      <c r="J24" s="2"/>
      <c r="K24" s="12"/>
      <c r="L24" s="12"/>
      <c r="M24" s="126" t="s">
        <v>1637</v>
      </c>
      <c r="N24" s="2" t="s">
        <v>961</v>
      </c>
      <c r="O24" s="12"/>
      <c r="P24" s="2">
        <v>1000</v>
      </c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5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2" t="s">
        <v>3</v>
      </c>
      <c r="AZ24" s="2"/>
      <c r="BA24" s="12"/>
      <c r="BB24" s="12"/>
      <c r="BC24" s="12"/>
      <c r="BD24" s="12"/>
      <c r="BE24" s="12"/>
      <c r="BF24" s="12"/>
      <c r="BG24" s="12"/>
      <c r="BH24" s="12"/>
      <c r="BI24" s="12"/>
    </row>
    <row r="25" spans="1:61" x14ac:dyDescent="0.25">
      <c r="A25" s="2" t="s">
        <v>1635</v>
      </c>
      <c r="B25" s="2">
        <v>2</v>
      </c>
      <c r="C25" s="12"/>
      <c r="D25" s="12"/>
      <c r="E25" s="12"/>
      <c r="F25" s="2" t="s">
        <v>3</v>
      </c>
      <c r="G25" s="2"/>
      <c r="H25" s="2" t="s">
        <v>1636</v>
      </c>
      <c r="I25" s="2"/>
      <c r="J25" s="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5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2" t="s">
        <v>1638</v>
      </c>
      <c r="BF25" s="12"/>
      <c r="BG25" s="12"/>
      <c r="BH25" s="12"/>
      <c r="BI25" s="12"/>
    </row>
    <row r="26" spans="1:61" x14ac:dyDescent="0.25">
      <c r="A26" s="2" t="s">
        <v>1639</v>
      </c>
      <c r="B26" s="2">
        <v>1</v>
      </c>
      <c r="C26" s="12"/>
      <c r="D26" s="2" t="s">
        <v>3</v>
      </c>
      <c r="E26" s="2"/>
      <c r="F26" s="2" t="s">
        <v>3</v>
      </c>
      <c r="G26" s="2"/>
      <c r="H26" s="2" t="s">
        <v>1640</v>
      </c>
      <c r="I26" s="2"/>
      <c r="J26" s="2"/>
      <c r="K26" s="12"/>
      <c r="L26" s="12"/>
      <c r="M26" s="12"/>
      <c r="N26" s="12"/>
      <c r="O26" s="2" t="s">
        <v>3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2" t="s">
        <v>1641</v>
      </c>
      <c r="AB26" s="12"/>
      <c r="AC26" s="12"/>
      <c r="AD26" s="12"/>
      <c r="AE26" s="12"/>
      <c r="AF26" s="12"/>
      <c r="AG26" s="12"/>
      <c r="AH26" s="12"/>
      <c r="AI26" s="12"/>
      <c r="AJ26" s="12"/>
      <c r="AK26" s="125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2" t="s">
        <v>1642</v>
      </c>
      <c r="BF26" s="2" t="s">
        <v>3</v>
      </c>
      <c r="BG26" s="12"/>
      <c r="BH26" s="12"/>
      <c r="BI26" s="12"/>
    </row>
    <row r="27" spans="1:61" x14ac:dyDescent="0.25">
      <c r="A27" s="2" t="s">
        <v>1639</v>
      </c>
      <c r="B27" s="2">
        <v>2</v>
      </c>
      <c r="C27" s="12"/>
      <c r="D27" s="12"/>
      <c r="E27" s="12"/>
      <c r="F27" s="2" t="s">
        <v>3</v>
      </c>
      <c r="G27" s="2"/>
      <c r="H27" s="2" t="s">
        <v>1640</v>
      </c>
      <c r="I27" s="2"/>
      <c r="J27" s="2"/>
      <c r="K27" s="2">
        <v>22240</v>
      </c>
      <c r="L27" s="126" t="s">
        <v>1637</v>
      </c>
      <c r="M27" s="126" t="s">
        <v>1643</v>
      </c>
      <c r="N27" s="2" t="s">
        <v>1644</v>
      </c>
      <c r="O27" s="2" t="s">
        <v>3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2" t="s">
        <v>1641</v>
      </c>
      <c r="AB27" s="2" t="s">
        <v>3</v>
      </c>
      <c r="AC27" s="12"/>
      <c r="AD27" s="12"/>
      <c r="AE27" s="12"/>
      <c r="AF27" s="12"/>
      <c r="AG27" s="12"/>
      <c r="AH27" s="12"/>
      <c r="AI27" s="12"/>
      <c r="AJ27" s="2">
        <v>10</v>
      </c>
      <c r="AK27" s="125"/>
      <c r="AL27" s="2" t="s">
        <v>3</v>
      </c>
      <c r="AM27" s="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2" t="s">
        <v>3</v>
      </c>
      <c r="AZ27" s="2"/>
      <c r="BA27" s="12"/>
      <c r="BB27" s="12"/>
      <c r="BC27" s="2" t="s">
        <v>1633</v>
      </c>
      <c r="BD27" s="12"/>
      <c r="BE27" s="12"/>
      <c r="BF27" s="2" t="s">
        <v>3</v>
      </c>
      <c r="BG27" s="12"/>
      <c r="BH27" s="12"/>
      <c r="BI27" s="12"/>
    </row>
    <row r="28" spans="1:61" x14ac:dyDescent="0.25">
      <c r="A28" s="2" t="s">
        <v>1639</v>
      </c>
      <c r="B28" s="2">
        <v>3</v>
      </c>
      <c r="C28" s="12"/>
      <c r="D28" s="12"/>
      <c r="E28" s="12"/>
      <c r="F28" s="2" t="s">
        <v>3</v>
      </c>
      <c r="G28" s="2"/>
      <c r="H28" s="2" t="s">
        <v>1640</v>
      </c>
      <c r="I28" s="2"/>
      <c r="J28" s="2"/>
      <c r="K28" s="2">
        <v>22240</v>
      </c>
      <c r="L28" s="126" t="s">
        <v>1637</v>
      </c>
      <c r="M28" s="126" t="s">
        <v>1643</v>
      </c>
      <c r="N28" s="2" t="s">
        <v>1644</v>
      </c>
      <c r="O28" s="2" t="s">
        <v>3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2" t="s">
        <v>1641</v>
      </c>
      <c r="AB28" s="2" t="s">
        <v>3</v>
      </c>
      <c r="AC28" s="2">
        <v>5</v>
      </c>
      <c r="AD28" s="2">
        <v>5</v>
      </c>
      <c r="AE28" s="2">
        <v>5</v>
      </c>
      <c r="AF28" s="2">
        <v>5</v>
      </c>
      <c r="AG28" s="2">
        <v>5</v>
      </c>
      <c r="AH28" s="2">
        <v>5</v>
      </c>
      <c r="AI28" s="2"/>
      <c r="AJ28" s="2">
        <v>5</v>
      </c>
      <c r="AK28" s="125"/>
      <c r="AL28" s="2" t="s">
        <v>3</v>
      </c>
      <c r="AM28" s="2"/>
      <c r="AN28" s="2">
        <v>5</v>
      </c>
      <c r="AO28" s="2"/>
      <c r="AP28" s="2">
        <v>5</v>
      </c>
      <c r="AQ28" s="12"/>
      <c r="AR28" s="12"/>
      <c r="AS28" s="12"/>
      <c r="AT28" s="12"/>
      <c r="AU28" s="12"/>
      <c r="AV28" s="12"/>
      <c r="AW28" s="12"/>
      <c r="AX28" s="12"/>
      <c r="AY28" s="2" t="s">
        <v>3</v>
      </c>
      <c r="AZ28" s="2"/>
      <c r="BA28" s="12"/>
      <c r="BB28" s="2" t="s">
        <v>3</v>
      </c>
      <c r="BC28" s="12"/>
      <c r="BD28" s="12"/>
      <c r="BE28" s="2" t="s">
        <v>1645</v>
      </c>
      <c r="BF28" s="12"/>
      <c r="BG28" s="12"/>
      <c r="BH28" s="12"/>
      <c r="BI28" s="12"/>
    </row>
    <row r="29" spans="1:61" x14ac:dyDescent="0.25">
      <c r="A29" s="2" t="s">
        <v>1646</v>
      </c>
      <c r="B29" s="2">
        <v>1</v>
      </c>
      <c r="C29" s="12"/>
      <c r="D29" s="2" t="s">
        <v>3</v>
      </c>
      <c r="E29" s="2"/>
      <c r="F29" s="2" t="s">
        <v>3</v>
      </c>
      <c r="G29" s="2"/>
      <c r="H29" s="2" t="s">
        <v>1614</v>
      </c>
      <c r="I29" s="2"/>
      <c r="J29" s="2"/>
      <c r="K29" s="12"/>
      <c r="L29" s="126" t="s">
        <v>1637</v>
      </c>
      <c r="M29" s="126" t="s">
        <v>1643</v>
      </c>
      <c r="N29" s="2" t="s">
        <v>1647</v>
      </c>
      <c r="O29" s="12"/>
      <c r="P29" s="12"/>
      <c r="Q29" s="12"/>
      <c r="R29" s="12"/>
      <c r="S29" s="12"/>
      <c r="T29" s="12"/>
      <c r="U29" s="2" t="s">
        <v>1648</v>
      </c>
      <c r="V29" s="2"/>
      <c r="W29" s="2"/>
      <c r="X29" s="2"/>
      <c r="Y29" s="2"/>
      <c r="Z29" s="2" t="s">
        <v>1649</v>
      </c>
      <c r="AA29" s="12"/>
      <c r="AB29" s="2" t="s">
        <v>3</v>
      </c>
      <c r="AC29" s="12"/>
      <c r="AD29" s="12"/>
      <c r="AE29" s="12"/>
      <c r="AF29" s="12"/>
      <c r="AG29" s="12"/>
      <c r="AH29" s="12"/>
      <c r="AI29" s="12"/>
      <c r="AJ29" s="12"/>
      <c r="AK29" s="125"/>
      <c r="AL29" s="12"/>
      <c r="AM29" s="12"/>
      <c r="AN29" s="2">
        <v>5</v>
      </c>
      <c r="AO29" s="2"/>
      <c r="AP29" s="2">
        <v>5</v>
      </c>
      <c r="AQ29" s="12"/>
      <c r="AR29" s="12"/>
      <c r="AS29" s="12"/>
      <c r="AT29" s="12"/>
      <c r="AU29" s="12"/>
      <c r="AV29" s="12"/>
      <c r="AW29" s="12"/>
      <c r="AX29" s="12"/>
      <c r="AY29" s="2" t="s">
        <v>3</v>
      </c>
      <c r="AZ29" s="2"/>
      <c r="BA29" s="12"/>
      <c r="BB29" s="12"/>
      <c r="BC29" s="12"/>
      <c r="BD29" s="12"/>
      <c r="BE29" s="12"/>
      <c r="BF29" s="12"/>
      <c r="BG29" s="12"/>
      <c r="BH29" s="12"/>
      <c r="BI29" s="12"/>
    </row>
    <row r="30" spans="1:61" x14ac:dyDescent="0.25">
      <c r="A30" s="2" t="s">
        <v>1646</v>
      </c>
      <c r="B30" s="2">
        <v>2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5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2" t="s">
        <v>1650</v>
      </c>
      <c r="BF30" s="12"/>
      <c r="BG30" s="12"/>
      <c r="BH30" s="12"/>
      <c r="BI30" s="12"/>
    </row>
    <row r="31" spans="1:61" x14ac:dyDescent="0.25">
      <c r="A31" s="2" t="s">
        <v>1646</v>
      </c>
      <c r="B31" s="2">
        <v>3</v>
      </c>
      <c r="C31" s="12"/>
      <c r="D31" s="12"/>
      <c r="E31" s="12"/>
      <c r="F31" s="2" t="s">
        <v>3</v>
      </c>
      <c r="G31" s="2"/>
      <c r="H31" s="2" t="s">
        <v>1630</v>
      </c>
      <c r="I31" s="2"/>
      <c r="J31" s="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5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2" t="s">
        <v>1651</v>
      </c>
      <c r="BF31" s="12"/>
      <c r="BG31" s="12"/>
      <c r="BH31" s="12"/>
      <c r="BI31" s="12"/>
    </row>
    <row r="32" spans="1:61" x14ac:dyDescent="0.25">
      <c r="A32" s="2" t="s">
        <v>1646</v>
      </c>
      <c r="B32" s="2">
        <v>4</v>
      </c>
      <c r="C32" s="12"/>
      <c r="D32" s="12"/>
      <c r="E32" s="12"/>
      <c r="F32" s="12"/>
      <c r="G32" s="12"/>
      <c r="H32" s="2" t="s">
        <v>1652</v>
      </c>
      <c r="I32" s="2"/>
      <c r="J32" s="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5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2" t="s">
        <v>1653</v>
      </c>
      <c r="BF32" s="12"/>
      <c r="BG32" s="12"/>
      <c r="BH32" s="12"/>
      <c r="BI32" s="12"/>
    </row>
    <row r="33" spans="1:61" x14ac:dyDescent="0.25">
      <c r="A33" s="2" t="s">
        <v>1654</v>
      </c>
      <c r="B33" s="2">
        <v>1</v>
      </c>
      <c r="C33" s="12"/>
      <c r="D33" s="2" t="s">
        <v>3</v>
      </c>
      <c r="E33" s="2"/>
      <c r="F33" s="2" t="s">
        <v>3</v>
      </c>
      <c r="G33" s="2"/>
      <c r="H33" s="2" t="s">
        <v>1614</v>
      </c>
      <c r="I33" s="2"/>
      <c r="J33" s="2"/>
      <c r="K33" s="12"/>
      <c r="L33" s="126" t="s">
        <v>1637</v>
      </c>
      <c r="M33" s="126" t="s">
        <v>1655</v>
      </c>
      <c r="N33" s="2" t="s">
        <v>1656</v>
      </c>
      <c r="O33" s="12"/>
      <c r="P33" s="12"/>
      <c r="Q33" s="12"/>
      <c r="R33" s="12"/>
      <c r="S33" s="12"/>
      <c r="T33" s="12"/>
      <c r="U33" s="2" t="s">
        <v>968</v>
      </c>
      <c r="V33" s="2"/>
      <c r="W33" s="2"/>
      <c r="X33" s="2"/>
      <c r="Y33" s="2"/>
      <c r="Z33" s="2" t="s">
        <v>1649</v>
      </c>
      <c r="AA33" s="12"/>
      <c r="AB33" s="2" t="s">
        <v>3</v>
      </c>
      <c r="AC33" s="12"/>
      <c r="AD33" s="12"/>
      <c r="AE33" s="12"/>
      <c r="AF33" s="12"/>
      <c r="AG33" s="12"/>
      <c r="AH33" s="12"/>
      <c r="AI33" s="12"/>
      <c r="AJ33" s="12"/>
      <c r="AK33" s="125"/>
      <c r="AL33" s="12"/>
      <c r="AM33" s="12"/>
      <c r="AN33" s="2">
        <v>5</v>
      </c>
      <c r="AO33" s="2"/>
      <c r="AP33" s="2">
        <v>5</v>
      </c>
      <c r="AQ33" s="12"/>
      <c r="AR33" s="12"/>
      <c r="AS33" s="12"/>
      <c r="AT33" s="12"/>
      <c r="AU33" s="12"/>
      <c r="AV33" s="12"/>
      <c r="AW33" s="12"/>
      <c r="AX33" s="12"/>
      <c r="AY33" s="2" t="s">
        <v>3</v>
      </c>
      <c r="AZ33" s="2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1" x14ac:dyDescent="0.25">
      <c r="A34" s="2" t="s">
        <v>1654</v>
      </c>
      <c r="B34" s="2">
        <v>2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5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2" t="s">
        <v>1650</v>
      </c>
      <c r="BF34" s="12"/>
      <c r="BG34" s="12"/>
      <c r="BH34" s="12"/>
      <c r="BI34" s="12"/>
    </row>
    <row r="35" spans="1:61" x14ac:dyDescent="0.25">
      <c r="A35" s="2" t="s">
        <v>1654</v>
      </c>
      <c r="B35" s="2">
        <v>3</v>
      </c>
      <c r="C35" s="12"/>
      <c r="D35" s="12"/>
      <c r="E35" s="12"/>
      <c r="F35" s="12"/>
      <c r="G35" s="12"/>
      <c r="H35" s="2" t="s">
        <v>1652</v>
      </c>
      <c r="I35" s="2"/>
      <c r="J35" s="2"/>
      <c r="K35" s="12"/>
      <c r="L35" s="126" t="s">
        <v>1637</v>
      </c>
      <c r="M35" s="126" t="s">
        <v>1655</v>
      </c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5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2" t="s">
        <v>1653</v>
      </c>
      <c r="BF35" s="12"/>
      <c r="BG35" s="12"/>
      <c r="BH35" s="12"/>
      <c r="BI35" s="12"/>
    </row>
    <row r="36" spans="1:61" x14ac:dyDescent="0.25">
      <c r="A36" s="2" t="s">
        <v>1657</v>
      </c>
      <c r="B36" s="4">
        <v>1</v>
      </c>
      <c r="C36" s="12"/>
      <c r="D36" s="2" t="s">
        <v>3</v>
      </c>
      <c r="E36" s="2"/>
      <c r="F36" s="2" t="s">
        <v>3</v>
      </c>
      <c r="G36" s="2"/>
      <c r="H36" s="2" t="s">
        <v>1614</v>
      </c>
      <c r="I36" s="2"/>
      <c r="J36" s="2"/>
      <c r="K36" s="12"/>
      <c r="L36" s="12"/>
      <c r="M36" s="12"/>
      <c r="N36" s="12"/>
      <c r="O36" s="12"/>
      <c r="P36" s="12"/>
      <c r="Q36" s="2" t="s">
        <v>1615</v>
      </c>
      <c r="R36" s="2" t="s">
        <v>1616</v>
      </c>
      <c r="S36" s="2"/>
      <c r="T36" s="2" t="s">
        <v>961</v>
      </c>
      <c r="U36" s="2" t="s">
        <v>968</v>
      </c>
      <c r="V36" s="2"/>
      <c r="W36" s="2"/>
      <c r="X36" s="2"/>
      <c r="Y36" s="2"/>
      <c r="Z36" s="2" t="s">
        <v>1617</v>
      </c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5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2" t="s">
        <v>3</v>
      </c>
      <c r="AZ36" s="2"/>
      <c r="BA36" s="12"/>
      <c r="BB36" s="12"/>
      <c r="BC36" s="12"/>
      <c r="BD36" s="12"/>
      <c r="BE36" s="12"/>
      <c r="BF36" s="12"/>
      <c r="BG36" s="12"/>
      <c r="BH36" s="12"/>
      <c r="BI36" s="2" t="s">
        <v>1658</v>
      </c>
    </row>
    <row r="37" spans="1:61" x14ac:dyDescent="0.25">
      <c r="A37" s="2" t="s">
        <v>1659</v>
      </c>
      <c r="B37" s="2">
        <v>1</v>
      </c>
      <c r="C37" s="12"/>
      <c r="D37" s="2" t="s">
        <v>3</v>
      </c>
      <c r="E37" s="2"/>
      <c r="F37" s="2" t="s">
        <v>3</v>
      </c>
      <c r="G37" s="2"/>
      <c r="H37" s="2" t="s">
        <v>1614</v>
      </c>
      <c r="I37" s="2">
        <v>50</v>
      </c>
      <c r="J37" s="2"/>
      <c r="K37" s="2"/>
      <c r="L37" s="2"/>
      <c r="M37" s="2"/>
      <c r="N37" s="12"/>
      <c r="O37" s="12"/>
      <c r="P37" s="2"/>
      <c r="Q37" s="2" t="s">
        <v>1615</v>
      </c>
      <c r="R37" s="2" t="s">
        <v>1616</v>
      </c>
      <c r="S37" s="2"/>
      <c r="T37" s="2" t="s">
        <v>961</v>
      </c>
      <c r="U37" s="2" t="s">
        <v>968</v>
      </c>
      <c r="V37" s="2"/>
      <c r="W37" s="2"/>
      <c r="X37" s="2"/>
      <c r="Y37" s="2"/>
      <c r="Z37" s="2" t="s">
        <v>1660</v>
      </c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5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2" t="s">
        <v>3</v>
      </c>
      <c r="AZ37" s="2" t="s">
        <v>1661</v>
      </c>
      <c r="BA37" s="12"/>
      <c r="BB37" s="12"/>
      <c r="BC37" s="12"/>
      <c r="BD37" s="12"/>
      <c r="BE37" s="2" t="s">
        <v>1662</v>
      </c>
      <c r="BF37" s="12"/>
      <c r="BG37" s="12"/>
      <c r="BH37" s="12"/>
      <c r="BI37" s="12"/>
    </row>
    <row r="38" spans="1:61" x14ac:dyDescent="0.25">
      <c r="A38" s="2" t="s">
        <v>1663</v>
      </c>
      <c r="B38" s="2">
        <v>1</v>
      </c>
      <c r="C38" s="12"/>
      <c r="D38" s="2" t="s">
        <v>3</v>
      </c>
      <c r="E38" s="2"/>
      <c r="F38" s="2" t="s">
        <v>3</v>
      </c>
      <c r="G38" s="2"/>
      <c r="H38" s="2" t="s">
        <v>1614</v>
      </c>
      <c r="I38" s="2"/>
      <c r="J38" s="2"/>
      <c r="K38" s="12"/>
      <c r="L38" s="14" t="s">
        <v>1664</v>
      </c>
      <c r="M38" s="14" t="s">
        <v>1664</v>
      </c>
      <c r="N38" s="2" t="s">
        <v>1656</v>
      </c>
      <c r="O38" s="12"/>
      <c r="P38" s="12"/>
      <c r="Q38" s="12"/>
      <c r="R38" s="12"/>
      <c r="S38" s="12"/>
      <c r="T38" s="12"/>
      <c r="U38" s="2" t="s">
        <v>968</v>
      </c>
      <c r="V38" s="2"/>
      <c r="W38" s="2"/>
      <c r="X38" s="2"/>
      <c r="Y38" s="2"/>
      <c r="Z38" s="2" t="s">
        <v>1665</v>
      </c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5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2" t="s">
        <v>3</v>
      </c>
      <c r="AZ38" s="2"/>
      <c r="BA38" s="12"/>
      <c r="BB38" s="12"/>
      <c r="BC38" s="12"/>
      <c r="BD38" s="12"/>
      <c r="BE38" s="12"/>
      <c r="BF38" s="12"/>
      <c r="BG38" s="12"/>
      <c r="BH38" s="12"/>
      <c r="BI38" s="12"/>
    </row>
    <row r="39" spans="1:61" x14ac:dyDescent="0.25">
      <c r="A39" s="2" t="s">
        <v>1666</v>
      </c>
      <c r="B39" s="2">
        <v>1</v>
      </c>
      <c r="C39" s="12"/>
      <c r="D39" s="2" t="s">
        <v>3</v>
      </c>
      <c r="E39" s="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5"/>
      <c r="AL39" s="12"/>
      <c r="AM39" s="12"/>
      <c r="AN39" s="12"/>
      <c r="AO39" s="12"/>
      <c r="AP39" s="12"/>
      <c r="AQ39" s="2" t="s">
        <v>1640</v>
      </c>
      <c r="AR39" s="2"/>
      <c r="AS39" s="2"/>
      <c r="AT39" s="2"/>
      <c r="AU39" s="2"/>
      <c r="AV39" s="2"/>
      <c r="AW39" s="2"/>
      <c r="AX39" s="2"/>
      <c r="AY39" s="12"/>
      <c r="AZ39" s="12"/>
      <c r="BA39" s="12"/>
      <c r="BB39" s="12"/>
      <c r="BC39" s="12"/>
      <c r="BD39" s="12"/>
      <c r="BE39" s="2" t="s">
        <v>1667</v>
      </c>
      <c r="BF39" s="12"/>
      <c r="BG39" s="12"/>
      <c r="BH39" s="12"/>
      <c r="BI39" s="12"/>
    </row>
    <row r="40" spans="1:61" x14ac:dyDescent="0.25">
      <c r="A40" s="2" t="s">
        <v>1668</v>
      </c>
      <c r="B40" s="2">
        <v>1</v>
      </c>
      <c r="C40" s="12"/>
      <c r="D40" s="2" t="s">
        <v>3</v>
      </c>
      <c r="E40" s="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5"/>
      <c r="AL40" s="12"/>
      <c r="AM40" s="12"/>
      <c r="AN40" s="12"/>
      <c r="AO40" s="12"/>
      <c r="AP40" s="12"/>
      <c r="AQ40" s="2" t="s">
        <v>1614</v>
      </c>
      <c r="AR40" s="2"/>
      <c r="AS40" s="2"/>
      <c r="AT40" s="2"/>
      <c r="AU40" s="2"/>
      <c r="AV40" s="2"/>
      <c r="AW40" s="2"/>
      <c r="AX40" s="2"/>
      <c r="AY40" s="12"/>
      <c r="AZ40" s="12"/>
      <c r="BA40" s="12"/>
      <c r="BB40" s="12"/>
      <c r="BC40" s="12"/>
      <c r="BD40" s="12"/>
      <c r="BE40" s="2" t="s">
        <v>1669</v>
      </c>
      <c r="BF40" s="12"/>
      <c r="BG40" s="12"/>
      <c r="BH40" s="12"/>
      <c r="BI40" s="12"/>
    </row>
    <row r="41" spans="1:61" x14ac:dyDescent="0.25">
      <c r="A41" s="2" t="s">
        <v>1668</v>
      </c>
      <c r="B41" s="2">
        <v>2</v>
      </c>
      <c r="C41" s="12"/>
      <c r="D41" s="12"/>
      <c r="E41" s="2" t="s">
        <v>3</v>
      </c>
      <c r="F41" s="2"/>
      <c r="G41" s="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5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30" t="s">
        <v>1670</v>
      </c>
      <c r="BI41" s="12"/>
    </row>
    <row r="42" spans="1:61" x14ac:dyDescent="0.25">
      <c r="A42" s="2" t="s">
        <v>1671</v>
      </c>
      <c r="B42" s="2">
        <v>1</v>
      </c>
      <c r="C42" s="12"/>
      <c r="D42" s="2" t="s">
        <v>3</v>
      </c>
      <c r="E42" s="2"/>
      <c r="F42" s="2" t="s">
        <v>3</v>
      </c>
      <c r="G42" s="2"/>
      <c r="H42" s="2" t="s">
        <v>1614</v>
      </c>
      <c r="I42" s="2">
        <v>50</v>
      </c>
      <c r="J42" s="2"/>
      <c r="K42" s="2"/>
      <c r="L42" s="2"/>
      <c r="M42" s="2"/>
      <c r="N42" s="12"/>
      <c r="O42" s="12"/>
      <c r="P42" s="2"/>
      <c r="Q42" s="2" t="s">
        <v>1615</v>
      </c>
      <c r="R42" s="2" t="s">
        <v>1616</v>
      </c>
      <c r="S42" s="2"/>
      <c r="T42" s="2" t="s">
        <v>961</v>
      </c>
      <c r="U42" s="2" t="s">
        <v>968</v>
      </c>
      <c r="V42" s="2"/>
      <c r="W42" s="2"/>
      <c r="X42" s="2"/>
      <c r="Y42" s="2"/>
      <c r="Z42" s="2" t="s">
        <v>1660</v>
      </c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5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2" t="s">
        <v>3</v>
      </c>
      <c r="AZ42" s="2"/>
      <c r="BA42" s="12"/>
      <c r="BB42" s="12"/>
      <c r="BC42" s="12"/>
      <c r="BD42" s="12"/>
      <c r="BE42" s="12"/>
      <c r="BF42" s="12"/>
      <c r="BG42" s="12"/>
      <c r="BH42" s="12"/>
      <c r="BI42" s="12"/>
    </row>
    <row r="43" spans="1:61" x14ac:dyDescent="0.25">
      <c r="A43" s="2" t="s">
        <v>1671</v>
      </c>
      <c r="B43" s="2">
        <v>2</v>
      </c>
      <c r="C43" s="12"/>
      <c r="D43" s="2" t="s">
        <v>3</v>
      </c>
      <c r="E43" s="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5"/>
      <c r="AL43" s="12"/>
      <c r="AM43" s="12"/>
      <c r="AN43" s="12"/>
      <c r="AO43" s="12"/>
      <c r="AP43" s="12"/>
      <c r="AQ43" s="2" t="s">
        <v>1614</v>
      </c>
      <c r="AR43" s="2"/>
      <c r="AS43" s="2"/>
      <c r="AT43" s="2"/>
      <c r="AU43" s="2"/>
      <c r="AV43" s="2"/>
      <c r="AW43" s="2"/>
      <c r="AX43" s="2"/>
      <c r="AY43" s="12"/>
      <c r="AZ43" s="12"/>
      <c r="BA43" s="12"/>
      <c r="BB43" s="12"/>
      <c r="BC43" s="12"/>
      <c r="BD43" s="12"/>
      <c r="BE43" s="2" t="s">
        <v>1669</v>
      </c>
      <c r="BF43" s="12"/>
      <c r="BG43" s="12"/>
      <c r="BH43" s="12"/>
      <c r="BI43" s="12"/>
    </row>
    <row r="44" spans="1:61" x14ac:dyDescent="0.25">
      <c r="A44" s="2" t="s">
        <v>1671</v>
      </c>
      <c r="B44" s="2">
        <v>3</v>
      </c>
      <c r="C44" s="12"/>
      <c r="D44" s="12"/>
      <c r="E44" s="2" t="s">
        <v>3</v>
      </c>
      <c r="F44" s="2"/>
      <c r="G44" s="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5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30" t="s">
        <v>1670</v>
      </c>
      <c r="BI44" s="12"/>
    </row>
    <row r="45" spans="1:61" x14ac:dyDescent="0.25">
      <c r="A45" s="2" t="s">
        <v>1672</v>
      </c>
      <c r="B45" s="2">
        <v>1</v>
      </c>
      <c r="C45" s="12"/>
      <c r="D45" s="2" t="s">
        <v>3</v>
      </c>
      <c r="E45" s="2"/>
      <c r="F45" s="2" t="s">
        <v>3</v>
      </c>
      <c r="G45" s="2"/>
      <c r="H45" s="2" t="s">
        <v>1614</v>
      </c>
      <c r="I45" s="2">
        <v>50</v>
      </c>
      <c r="J45" s="2"/>
      <c r="K45" s="12"/>
      <c r="L45" s="2"/>
      <c r="M45" s="2"/>
      <c r="N45" s="12"/>
      <c r="O45" s="12"/>
      <c r="P45" s="2"/>
      <c r="Q45" s="2" t="s">
        <v>1615</v>
      </c>
      <c r="R45" s="2" t="s">
        <v>1616</v>
      </c>
      <c r="S45" s="2"/>
      <c r="T45" s="2" t="s">
        <v>1673</v>
      </c>
      <c r="U45" s="2" t="s">
        <v>968</v>
      </c>
      <c r="V45" s="2"/>
      <c r="W45" s="2"/>
      <c r="X45" s="2"/>
      <c r="Y45" s="2"/>
      <c r="Z45" s="2" t="s">
        <v>1665</v>
      </c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5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2" t="s">
        <v>3</v>
      </c>
      <c r="AZ45" s="2"/>
      <c r="BA45" s="12"/>
      <c r="BB45" s="12"/>
      <c r="BC45" s="12"/>
      <c r="BD45" s="12"/>
      <c r="BE45" s="12"/>
      <c r="BF45" s="12"/>
      <c r="BG45" s="12"/>
      <c r="BH45" s="12"/>
      <c r="BI45" s="12"/>
    </row>
    <row r="46" spans="1:61" x14ac:dyDescent="0.25">
      <c r="A46" s="2" t="s">
        <v>1672</v>
      </c>
      <c r="B46" s="2">
        <v>2</v>
      </c>
      <c r="C46" s="12"/>
      <c r="D46" s="2" t="s">
        <v>3</v>
      </c>
      <c r="E46" s="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5"/>
      <c r="AL46" s="12"/>
      <c r="AM46" s="12"/>
      <c r="AN46" s="12"/>
      <c r="AO46" s="12"/>
      <c r="AP46" s="12"/>
      <c r="AQ46" s="2" t="s">
        <v>1614</v>
      </c>
      <c r="AR46" s="2"/>
      <c r="AS46" s="2"/>
      <c r="AT46" s="2"/>
      <c r="AU46" s="2"/>
      <c r="AV46" s="2"/>
      <c r="AW46" s="2"/>
      <c r="AX46" s="2"/>
      <c r="AY46" s="12"/>
      <c r="AZ46" s="12"/>
      <c r="BA46" s="12"/>
      <c r="BB46" s="12"/>
      <c r="BC46" s="12"/>
      <c r="BD46" s="12"/>
      <c r="BE46" s="2" t="s">
        <v>1669</v>
      </c>
      <c r="BF46" s="12"/>
      <c r="BG46" s="12"/>
      <c r="BH46" s="12"/>
      <c r="BI46" s="12"/>
    </row>
    <row r="47" spans="1:61" x14ac:dyDescent="0.25">
      <c r="A47" s="2" t="s">
        <v>1672</v>
      </c>
      <c r="B47" s="2">
        <v>3</v>
      </c>
      <c r="C47" s="12"/>
      <c r="D47" s="12"/>
      <c r="E47" s="2" t="s">
        <v>3</v>
      </c>
      <c r="F47" s="2"/>
      <c r="G47" s="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5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30" t="s">
        <v>1674</v>
      </c>
      <c r="BI47" s="12"/>
    </row>
    <row r="48" spans="1:61" x14ac:dyDescent="0.25">
      <c r="A48" s="2" t="s">
        <v>1675</v>
      </c>
      <c r="B48" s="2">
        <v>1</v>
      </c>
      <c r="C48" s="12"/>
      <c r="D48" s="2" t="s">
        <v>3</v>
      </c>
      <c r="E48" s="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5"/>
      <c r="AL48" s="12"/>
      <c r="AM48" s="12"/>
      <c r="AN48" s="12"/>
      <c r="AO48" s="12"/>
      <c r="AP48" s="12"/>
      <c r="AQ48" s="2" t="s">
        <v>1614</v>
      </c>
      <c r="AR48" s="2"/>
      <c r="AS48" s="2"/>
      <c r="AT48" s="2"/>
      <c r="AU48" s="2"/>
      <c r="AV48" s="2"/>
      <c r="AW48" s="2"/>
      <c r="AX48" s="2"/>
      <c r="AY48" s="12"/>
      <c r="AZ48" s="12"/>
      <c r="BA48" s="12"/>
      <c r="BB48" s="12"/>
      <c r="BC48" s="12"/>
      <c r="BD48" s="12"/>
      <c r="BE48" s="2" t="s">
        <v>1669</v>
      </c>
      <c r="BF48" s="12"/>
      <c r="BG48" s="12"/>
      <c r="BH48" s="12"/>
      <c r="BI48" s="12"/>
    </row>
    <row r="49" spans="1:61" x14ac:dyDescent="0.25">
      <c r="A49" s="2" t="s">
        <v>1675</v>
      </c>
      <c r="B49" s="2">
        <v>2</v>
      </c>
      <c r="C49" s="12"/>
      <c r="D49" s="12"/>
      <c r="E49" s="2" t="s">
        <v>3</v>
      </c>
      <c r="F49" s="2"/>
      <c r="G49" s="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5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30" t="s">
        <v>1670</v>
      </c>
      <c r="BI49" s="12"/>
    </row>
    <row r="50" spans="1:61" x14ac:dyDescent="0.25">
      <c r="A50" s="131" t="s">
        <v>1676</v>
      </c>
      <c r="B50" s="131">
        <v>1</v>
      </c>
      <c r="C50" s="131"/>
      <c r="D50" s="131" t="s">
        <v>3</v>
      </c>
      <c r="E50" s="131"/>
      <c r="F50" s="131" t="s">
        <v>3</v>
      </c>
      <c r="G50" s="131"/>
      <c r="H50" s="131" t="s">
        <v>1614</v>
      </c>
      <c r="I50" s="131">
        <v>50</v>
      </c>
      <c r="J50" s="131"/>
      <c r="K50" s="131"/>
      <c r="L50" s="131"/>
      <c r="M50" s="131"/>
      <c r="N50" s="131"/>
      <c r="O50" s="131"/>
      <c r="P50" s="131"/>
      <c r="Q50" s="131" t="s">
        <v>1615</v>
      </c>
      <c r="R50" s="131" t="s">
        <v>1677</v>
      </c>
      <c r="S50" s="131"/>
      <c r="T50" s="131" t="s">
        <v>1673</v>
      </c>
      <c r="U50" s="131" t="s">
        <v>968</v>
      </c>
      <c r="V50" s="131"/>
      <c r="W50" s="131"/>
      <c r="X50" s="131"/>
      <c r="Y50" s="131"/>
      <c r="Z50" s="131" t="s">
        <v>1678</v>
      </c>
      <c r="AA50" s="131" t="s">
        <v>1679</v>
      </c>
      <c r="AB50" s="131"/>
      <c r="AC50" s="131"/>
      <c r="AD50" s="131"/>
      <c r="AE50" s="131"/>
      <c r="AF50" s="131"/>
      <c r="AG50" s="131"/>
      <c r="AH50" s="131"/>
      <c r="AI50" s="131"/>
      <c r="AJ50" s="131"/>
      <c r="AK50" s="125"/>
      <c r="AL50" s="131"/>
      <c r="AM50" s="131"/>
      <c r="AN50" s="131"/>
      <c r="AO50" s="131"/>
      <c r="AP50" s="131"/>
      <c r="AQ50" s="131"/>
      <c r="AR50" s="131"/>
      <c r="AS50" s="131"/>
      <c r="AT50" s="131"/>
      <c r="AU50" s="131"/>
      <c r="AV50" s="131"/>
      <c r="AW50" s="131"/>
      <c r="AX50" s="131"/>
      <c r="AY50" s="131" t="s">
        <v>3</v>
      </c>
      <c r="AZ50" s="131"/>
      <c r="BA50" s="131"/>
      <c r="BB50" s="131"/>
      <c r="BC50" s="131"/>
      <c r="BD50" s="131"/>
      <c r="BE50" s="131" t="s">
        <v>1680</v>
      </c>
    </row>
    <row r="51" spans="1:61" x14ac:dyDescent="0.25">
      <c r="A51" s="131" t="s">
        <v>1681</v>
      </c>
      <c r="B51" s="131">
        <v>1</v>
      </c>
      <c r="C51" s="131"/>
      <c r="D51" s="131" t="s">
        <v>3</v>
      </c>
      <c r="E51" s="131"/>
      <c r="F51" s="131" t="s">
        <v>3</v>
      </c>
      <c r="G51" s="131"/>
      <c r="H51" s="131" t="s">
        <v>1614</v>
      </c>
      <c r="I51" s="131">
        <v>50</v>
      </c>
      <c r="J51" s="131"/>
      <c r="K51" s="131"/>
      <c r="L51" s="131"/>
      <c r="M51" s="131"/>
      <c r="N51" s="131"/>
      <c r="O51" s="131"/>
      <c r="P51" s="131"/>
      <c r="Q51" s="131" t="s">
        <v>1615</v>
      </c>
      <c r="R51" s="131" t="s">
        <v>1677</v>
      </c>
      <c r="S51" s="131"/>
      <c r="T51" s="131" t="s">
        <v>1673</v>
      </c>
      <c r="U51" s="131" t="s">
        <v>968</v>
      </c>
      <c r="V51" s="131"/>
      <c r="W51" s="131"/>
      <c r="X51" s="131"/>
      <c r="Y51" s="131"/>
      <c r="Z51" s="131" t="s">
        <v>1682</v>
      </c>
      <c r="AA51" s="131" t="s">
        <v>1683</v>
      </c>
      <c r="AB51" s="131"/>
      <c r="AC51" s="131"/>
      <c r="AD51" s="131"/>
      <c r="AE51" s="131"/>
      <c r="AF51" s="131"/>
      <c r="AG51" s="131"/>
      <c r="AH51" s="131"/>
      <c r="AI51" s="131"/>
      <c r="AJ51" s="131"/>
      <c r="AK51" s="125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1"/>
      <c r="AX51" s="131"/>
      <c r="AY51" s="131" t="s">
        <v>3</v>
      </c>
      <c r="AZ51" s="131"/>
      <c r="BA51" s="131"/>
      <c r="BB51" s="131"/>
      <c r="BC51" s="131"/>
      <c r="BD51" s="131"/>
      <c r="BE51" s="131" t="s">
        <v>1680</v>
      </c>
    </row>
    <row r="52" spans="1:61" x14ac:dyDescent="0.25">
      <c r="A52" s="131" t="s">
        <v>1684</v>
      </c>
      <c r="B52" s="131">
        <v>1</v>
      </c>
      <c r="C52" s="131"/>
      <c r="D52" s="131" t="s">
        <v>3</v>
      </c>
      <c r="E52" s="131"/>
      <c r="F52" s="131" t="s">
        <v>3</v>
      </c>
      <c r="G52" s="131"/>
      <c r="H52" s="131" t="s">
        <v>1614</v>
      </c>
      <c r="I52" s="131">
        <v>50</v>
      </c>
      <c r="J52" s="131"/>
      <c r="K52" s="131"/>
      <c r="L52" s="131"/>
      <c r="M52" s="131"/>
      <c r="N52" s="131"/>
      <c r="O52" s="131"/>
      <c r="P52" s="131"/>
      <c r="Q52" s="131" t="s">
        <v>1615</v>
      </c>
      <c r="R52" s="131" t="s">
        <v>1677</v>
      </c>
      <c r="S52" s="131"/>
      <c r="T52" s="131" t="s">
        <v>1673</v>
      </c>
      <c r="U52" s="131" t="s">
        <v>968</v>
      </c>
      <c r="V52" s="131"/>
      <c r="W52" s="131"/>
      <c r="X52" s="131"/>
      <c r="Y52" s="131"/>
      <c r="Z52" s="131" t="s">
        <v>1665</v>
      </c>
      <c r="AA52" s="131" t="s">
        <v>1683</v>
      </c>
      <c r="AB52" s="131"/>
      <c r="AC52" s="131"/>
      <c r="AD52" s="131"/>
      <c r="AE52" s="131"/>
      <c r="AF52" s="131"/>
      <c r="AG52" s="131"/>
      <c r="AH52" s="131"/>
      <c r="AI52" s="131"/>
      <c r="AJ52" s="131"/>
      <c r="AK52" s="125"/>
      <c r="AL52" s="131"/>
      <c r="AM52" s="131"/>
      <c r="AN52" s="131"/>
      <c r="AO52" s="131"/>
      <c r="AP52" s="131"/>
      <c r="AQ52" s="131"/>
      <c r="AR52" s="131"/>
      <c r="AS52" s="131"/>
      <c r="AT52" s="131"/>
      <c r="AU52" s="131"/>
      <c r="AV52" s="131"/>
      <c r="AW52" s="131"/>
      <c r="AX52" s="131"/>
      <c r="AY52" s="131" t="s">
        <v>3</v>
      </c>
      <c r="AZ52" s="131"/>
      <c r="BA52" s="131"/>
      <c r="BB52" s="131"/>
      <c r="BC52" s="131"/>
      <c r="BD52" s="131"/>
      <c r="BE52" s="131" t="s">
        <v>1680</v>
      </c>
    </row>
    <row r="53" spans="1:61" x14ac:dyDescent="0.25">
      <c r="A53" s="131" t="s">
        <v>1685</v>
      </c>
      <c r="B53" s="131">
        <v>1</v>
      </c>
      <c r="C53" s="131"/>
      <c r="D53" s="131" t="s">
        <v>3</v>
      </c>
      <c r="E53" s="131"/>
      <c r="F53" s="131" t="s">
        <v>3</v>
      </c>
      <c r="G53" s="131"/>
      <c r="H53" s="131" t="s">
        <v>1614</v>
      </c>
      <c r="I53" s="131">
        <v>50</v>
      </c>
      <c r="J53" s="131"/>
      <c r="K53" s="131"/>
      <c r="L53" s="131"/>
      <c r="M53" s="131"/>
      <c r="N53" s="131"/>
      <c r="O53" s="131"/>
      <c r="P53" s="131"/>
      <c r="Q53" s="131" t="s">
        <v>1615</v>
      </c>
      <c r="R53" s="131" t="s">
        <v>1677</v>
      </c>
      <c r="S53" s="131"/>
      <c r="T53" s="131" t="s">
        <v>1673</v>
      </c>
      <c r="U53" s="131" t="s">
        <v>968</v>
      </c>
      <c r="V53" s="131"/>
      <c r="W53" s="131"/>
      <c r="X53" s="131"/>
      <c r="Y53" s="131"/>
      <c r="Z53" s="131" t="s">
        <v>1665</v>
      </c>
      <c r="AA53" s="131" t="s">
        <v>1683</v>
      </c>
      <c r="AB53" s="131"/>
      <c r="AC53" s="131"/>
      <c r="AD53" s="131"/>
      <c r="AE53" s="131"/>
      <c r="AF53" s="131"/>
      <c r="AG53" s="131"/>
      <c r="AH53" s="131"/>
      <c r="AI53" s="131"/>
      <c r="AJ53" s="131"/>
      <c r="AK53" s="125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  <c r="AX53" s="131"/>
      <c r="AY53" s="131" t="s">
        <v>3</v>
      </c>
      <c r="AZ53" s="131"/>
      <c r="BA53" s="131"/>
      <c r="BB53" s="131"/>
      <c r="BC53" s="131"/>
      <c r="BD53" s="131"/>
      <c r="BE53" s="131" t="s">
        <v>1680</v>
      </c>
    </row>
    <row r="54" spans="1:61" x14ac:dyDescent="0.25">
      <c r="A54" s="102" t="s">
        <v>1686</v>
      </c>
      <c r="B54" s="102">
        <v>1</v>
      </c>
      <c r="C54" s="102"/>
      <c r="D54" s="102" t="s">
        <v>3</v>
      </c>
      <c r="E54" s="102"/>
      <c r="F54" s="102" t="s">
        <v>3</v>
      </c>
      <c r="G54" s="102"/>
      <c r="H54" s="102" t="s">
        <v>1614</v>
      </c>
      <c r="I54" s="102"/>
      <c r="J54" s="102"/>
      <c r="K54" s="102"/>
      <c r="L54" s="102"/>
      <c r="M54" s="102"/>
      <c r="N54" s="102" t="s">
        <v>961</v>
      </c>
      <c r="P54" s="102"/>
      <c r="Q54" s="102" t="s">
        <v>1687</v>
      </c>
      <c r="R54" s="102"/>
      <c r="S54" s="102"/>
      <c r="T54" s="102"/>
      <c r="U54" s="102" t="s">
        <v>968</v>
      </c>
      <c r="V54" s="102"/>
      <c r="W54" s="102"/>
      <c r="X54" s="102"/>
      <c r="Y54" s="102"/>
      <c r="Z54" s="102" t="s">
        <v>1688</v>
      </c>
      <c r="AA54" s="102" t="s">
        <v>1689</v>
      </c>
      <c r="AB54" s="102" t="s">
        <v>3</v>
      </c>
      <c r="AC54" s="132" t="s">
        <v>863</v>
      </c>
      <c r="AK54" s="125"/>
      <c r="AN54" s="102">
        <v>1</v>
      </c>
      <c r="AO54" s="102">
        <v>1</v>
      </c>
      <c r="AR54" s="132" t="s">
        <v>3</v>
      </c>
      <c r="AS54" s="132" t="s">
        <v>1690</v>
      </c>
      <c r="AY54" s="102"/>
      <c r="BC54" s="102"/>
      <c r="BE54" s="102"/>
      <c r="BF54" s="102"/>
      <c r="BG54" s="102"/>
      <c r="BH54" s="102" t="s">
        <v>1691</v>
      </c>
    </row>
    <row r="55" spans="1:61" x14ac:dyDescent="0.25">
      <c r="A55" s="102" t="s">
        <v>1686</v>
      </c>
      <c r="B55" s="102">
        <v>2</v>
      </c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32"/>
      <c r="AK55" s="125"/>
      <c r="AN55" s="102"/>
      <c r="AO55" s="102"/>
      <c r="AR55" s="132"/>
      <c r="AS55" s="132"/>
      <c r="AY55" s="102" t="s">
        <v>3</v>
      </c>
      <c r="BC55" s="102" t="s">
        <v>1692</v>
      </c>
      <c r="BE55" s="102"/>
      <c r="BF55" s="102"/>
      <c r="BG55" s="102"/>
      <c r="BH55" s="102"/>
    </row>
    <row r="56" spans="1:61" x14ac:dyDescent="0.25">
      <c r="A56" s="102" t="s">
        <v>1686</v>
      </c>
      <c r="B56" s="102">
        <v>3</v>
      </c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P56" s="102"/>
      <c r="Q56" s="102" t="s">
        <v>1693</v>
      </c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32"/>
      <c r="AK56" s="125"/>
      <c r="AN56" s="102"/>
      <c r="AO56" s="102"/>
      <c r="AR56" s="132"/>
      <c r="AS56" s="132"/>
      <c r="AY56" s="102" t="s">
        <v>3</v>
      </c>
      <c r="BC56" s="102" t="s">
        <v>1692</v>
      </c>
      <c r="BE56" s="102"/>
      <c r="BF56" s="102"/>
      <c r="BG56" s="102"/>
      <c r="BH56" s="102"/>
    </row>
    <row r="57" spans="1:61" x14ac:dyDescent="0.25">
      <c r="A57" s="102" t="s">
        <v>1694</v>
      </c>
      <c r="B57" s="102">
        <v>1</v>
      </c>
      <c r="C57" s="102"/>
      <c r="D57" s="102" t="s">
        <v>3</v>
      </c>
      <c r="E57" s="102"/>
      <c r="F57" s="102" t="s">
        <v>3</v>
      </c>
      <c r="G57" s="102"/>
      <c r="H57" s="102" t="s">
        <v>1630</v>
      </c>
      <c r="I57" s="102"/>
      <c r="J57" s="102"/>
      <c r="K57" s="102"/>
      <c r="L57" s="102"/>
      <c r="M57" s="102"/>
      <c r="N57" s="102" t="s">
        <v>961</v>
      </c>
      <c r="P57" s="102">
        <v>10</v>
      </c>
      <c r="Q57" s="102"/>
      <c r="R57" s="102"/>
      <c r="S57" s="102"/>
      <c r="T57" s="102"/>
      <c r="U57" s="102"/>
      <c r="V57" s="102"/>
      <c r="W57" s="102"/>
      <c r="X57" s="102"/>
      <c r="Y57" s="102"/>
      <c r="Z57" s="102" t="s">
        <v>1688</v>
      </c>
      <c r="AA57" s="102" t="s">
        <v>1689</v>
      </c>
      <c r="AB57" s="102"/>
      <c r="AC57" s="132"/>
      <c r="AK57" s="125"/>
      <c r="AN57" s="102"/>
      <c r="AO57" s="102"/>
      <c r="AR57" s="132"/>
      <c r="AS57" s="132"/>
      <c r="AY57" s="102"/>
      <c r="BC57" s="102"/>
      <c r="BE57" s="102" t="s">
        <v>1695</v>
      </c>
      <c r="BF57" s="102"/>
      <c r="BG57" s="102"/>
      <c r="BH57" s="102"/>
    </row>
    <row r="58" spans="1:61" x14ac:dyDescent="0.25">
      <c r="A58" s="102" t="s">
        <v>1696</v>
      </c>
      <c r="B58" s="102">
        <v>1</v>
      </c>
      <c r="C58" s="102"/>
      <c r="D58" s="102" t="s">
        <v>3</v>
      </c>
      <c r="E58" s="102"/>
      <c r="F58" s="102" t="s">
        <v>3</v>
      </c>
      <c r="G58" s="102"/>
      <c r="H58" s="102" t="s">
        <v>1697</v>
      </c>
      <c r="I58" s="102"/>
      <c r="J58" s="102"/>
      <c r="K58" s="102"/>
      <c r="L58" s="102"/>
      <c r="M58" s="102"/>
      <c r="N58" s="102" t="s">
        <v>961</v>
      </c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 t="s">
        <v>1688</v>
      </c>
      <c r="AA58" s="102" t="s">
        <v>1689</v>
      </c>
      <c r="AB58" s="102" t="s">
        <v>3</v>
      </c>
      <c r="AC58" s="132" t="s">
        <v>863</v>
      </c>
      <c r="AK58" s="125"/>
      <c r="AN58" s="102">
        <v>1</v>
      </c>
      <c r="AO58" s="102">
        <v>1</v>
      </c>
      <c r="AR58" s="132" t="s">
        <v>3</v>
      </c>
      <c r="AS58" s="132" t="s">
        <v>1690</v>
      </c>
      <c r="AY58" s="102"/>
      <c r="BC58" s="102"/>
      <c r="BE58" s="102"/>
      <c r="BF58" s="102"/>
      <c r="BG58" s="102"/>
      <c r="BH58" s="102" t="s">
        <v>1691</v>
      </c>
    </row>
    <row r="59" spans="1:61" x14ac:dyDescent="0.25">
      <c r="A59" s="102" t="s">
        <v>1696</v>
      </c>
      <c r="B59" s="102">
        <v>2</v>
      </c>
      <c r="C59" s="102"/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2"/>
      <c r="P59" s="102"/>
      <c r="Q59" s="102" t="s">
        <v>1698</v>
      </c>
      <c r="R59" s="102" t="s">
        <v>1699</v>
      </c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32"/>
      <c r="AK59" s="125"/>
      <c r="AN59" s="102"/>
      <c r="AO59" s="102"/>
      <c r="AR59" s="132"/>
      <c r="AS59" s="132"/>
      <c r="AY59" s="102" t="s">
        <v>3</v>
      </c>
      <c r="BC59" s="102" t="s">
        <v>1700</v>
      </c>
      <c r="BE59" s="102"/>
      <c r="BF59" s="102"/>
      <c r="BG59" s="102"/>
      <c r="BH59" s="102"/>
    </row>
    <row r="60" spans="1:61" x14ac:dyDescent="0.25">
      <c r="A60" s="133" t="s">
        <v>1701</v>
      </c>
      <c r="B60" s="133">
        <v>1</v>
      </c>
      <c r="C60" s="133"/>
      <c r="D60" s="133" t="s">
        <v>3</v>
      </c>
      <c r="E60" s="133"/>
      <c r="F60" s="133" t="s">
        <v>3</v>
      </c>
      <c r="G60" s="133"/>
      <c r="H60" s="133" t="s">
        <v>1614</v>
      </c>
      <c r="I60" s="133">
        <v>50</v>
      </c>
      <c r="J60" s="134"/>
      <c r="Q60" s="133" t="s">
        <v>1615</v>
      </c>
      <c r="R60" s="133" t="s">
        <v>1677</v>
      </c>
      <c r="S60" s="133"/>
      <c r="T60" s="133" t="s">
        <v>961</v>
      </c>
      <c r="U60" s="133" t="s">
        <v>968</v>
      </c>
      <c r="V60" s="133"/>
      <c r="W60" s="133"/>
      <c r="X60" s="133"/>
      <c r="Y60" s="133"/>
      <c r="Z60" s="133" t="s">
        <v>1617</v>
      </c>
      <c r="AY60" s="133" t="s">
        <v>3</v>
      </c>
      <c r="BI60" s="133" t="s">
        <v>1658</v>
      </c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M137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5" sqref="C5"/>
    </sheetView>
  </sheetViews>
  <sheetFormatPr defaultRowHeight="15" x14ac:dyDescent="0.25"/>
  <cols>
    <col min="1" max="1" width="6.140625" style="72" bestFit="1" customWidth="1" collapsed="1"/>
    <col min="2" max="2" width="8.7109375" style="72" bestFit="1" customWidth="1" collapsed="1"/>
    <col min="3" max="3" width="16.5703125" style="72" bestFit="1" customWidth="1" collapsed="1"/>
    <col min="4" max="5" width="16.5703125" style="72" customWidth="1" collapsed="1"/>
    <col min="6" max="6" width="10.42578125" style="72" bestFit="1" customWidth="1" collapsed="1"/>
    <col min="7" max="7" width="15.42578125" style="72" bestFit="1" customWidth="1" collapsed="1"/>
    <col min="8" max="8" width="14.5703125" style="72" bestFit="1" customWidth="1" collapsed="1"/>
    <col min="9" max="9" width="14.140625" style="72" bestFit="1" customWidth="1" collapsed="1"/>
    <col min="10" max="10" width="18" style="72" bestFit="1" customWidth="1" collapsed="1"/>
    <col min="11" max="11" width="27.42578125" style="72" bestFit="1" customWidth="1" collapsed="1"/>
    <col min="12" max="12" width="13.140625" style="72" bestFit="1" customWidth="1" collapsed="1"/>
    <col min="13" max="13" width="13.85546875" style="72" bestFit="1" customWidth="1" collapsed="1"/>
    <col min="14" max="14" width="19.5703125" style="72" bestFit="1" customWidth="1" collapsed="1"/>
    <col min="15" max="15" width="15.28515625" style="72" bestFit="1" customWidth="1" collapsed="1"/>
    <col min="16" max="16" width="18.85546875" style="72" bestFit="1" customWidth="1" collapsed="1"/>
    <col min="17" max="17" width="8.7109375" style="72" bestFit="1" customWidth="1" collapsed="1"/>
    <col min="18" max="18" width="9.42578125" style="72" bestFit="1" customWidth="1" collapsed="1"/>
    <col min="19" max="19" width="17" style="72" bestFit="1" customWidth="1" collapsed="1"/>
    <col min="20" max="20" width="22.5703125" style="72" bestFit="1" customWidth="1" collapsed="1"/>
    <col min="21" max="21" width="22.42578125" style="72" bestFit="1" customWidth="1" collapsed="1"/>
    <col min="22" max="24" width="22.42578125" style="72" customWidth="1" collapsed="1"/>
    <col min="25" max="25" width="20.7109375" style="72" bestFit="1" customWidth="1" collapsed="1"/>
    <col min="26" max="40" width="20.7109375" style="72" customWidth="1" collapsed="1"/>
    <col min="41" max="41" width="17.5703125" style="72" bestFit="1" customWidth="1" collapsed="1"/>
    <col min="42" max="42" width="14.28515625" style="72" bestFit="1" customWidth="1" collapsed="1"/>
    <col min="43" max="43" width="16.5703125" style="72" bestFit="1" customWidth="1" collapsed="1"/>
    <col min="44" max="45" width="24.85546875" style="72" bestFit="1" customWidth="1" collapsed="1"/>
    <col min="46" max="46" width="19.85546875" style="72" bestFit="1" customWidth="1" collapsed="1"/>
    <col min="47" max="47" width="18.42578125" style="72" bestFit="1" customWidth="1" collapsed="1"/>
    <col min="48" max="48" width="27.7109375" style="72" bestFit="1" customWidth="1" collapsed="1"/>
    <col min="49" max="56" width="27.7109375" style="72" customWidth="1" collapsed="1"/>
    <col min="57" max="57" width="14.7109375" style="72" bestFit="1" customWidth="1" collapsed="1"/>
    <col min="58" max="58" width="18.28515625" style="72" bestFit="1" customWidth="1" collapsed="1"/>
    <col min="59" max="59" width="20.85546875" style="72" bestFit="1" customWidth="1" collapsed="1"/>
    <col min="60" max="60" width="22.42578125" style="72" bestFit="1" customWidth="1" collapsed="1"/>
    <col min="61" max="61" width="20" style="72" bestFit="1" customWidth="1" collapsed="1"/>
    <col min="62" max="62" width="18.85546875" style="72" bestFit="1" customWidth="1" collapsed="1"/>
    <col min="63" max="63" width="21.5703125" style="72" bestFit="1" customWidth="1" collapsed="1"/>
    <col min="64" max="64" width="14.140625" style="72" bestFit="1" customWidth="1" collapsed="1"/>
    <col min="65" max="65" width="18" style="72" bestFit="1" customWidth="1" collapsed="1"/>
    <col min="66" max="66" width="19.42578125" style="72" bestFit="1" customWidth="1" collapsed="1"/>
    <col min="67" max="67" width="10.140625" style="72" bestFit="1" customWidth="1" collapsed="1"/>
    <col min="68" max="68" width="35" style="72" bestFit="1" customWidth="1" collapsed="1"/>
    <col min="69" max="69" width="148.7109375" style="72" bestFit="1" customWidth="1" collapsed="1"/>
    <col min="70" max="70" width="38.28515625" style="72" bestFit="1" customWidth="1" collapsed="1"/>
    <col min="71" max="71" width="44.7109375" style="72" customWidth="1" collapsed="1"/>
    <col min="72" max="72" width="27.5703125" style="72" bestFit="1" customWidth="1" collapsed="1"/>
    <col min="73" max="73" width="18.42578125" style="72" bestFit="1" customWidth="1" collapsed="1"/>
    <col min="74" max="74" width="23" style="72" bestFit="1" customWidth="1" collapsed="1"/>
    <col min="75" max="75" width="18.42578125" style="72" bestFit="1" customWidth="1" collapsed="1"/>
    <col min="76" max="76" width="13.42578125" style="72" bestFit="1" customWidth="1" collapsed="1"/>
    <col min="77" max="77" width="27.85546875" style="72" bestFit="1" customWidth="1" collapsed="1"/>
    <col min="78" max="78" width="18.5703125" style="72" bestFit="1" customWidth="1" collapsed="1"/>
    <col min="79" max="79" width="27.85546875" style="72" bestFit="1" customWidth="1" collapsed="1"/>
    <col min="80" max="80" width="23.5703125" style="72" bestFit="1" customWidth="1" collapsed="1"/>
    <col min="81" max="81" width="18" style="72" bestFit="1" customWidth="1" collapsed="1"/>
    <col min="82" max="82" width="17.5703125" style="72" bestFit="1" customWidth="1" collapsed="1"/>
    <col min="83" max="83" width="21.85546875" style="72" bestFit="1" customWidth="1" collapsed="1"/>
    <col min="84" max="84" width="14" style="72" bestFit="1" customWidth="1" collapsed="1"/>
    <col min="85" max="85" width="14.7109375" style="72" bestFit="1" customWidth="1" collapsed="1"/>
    <col min="86" max="86" width="26.85546875" style="72" bestFit="1" customWidth="1" collapsed="1"/>
    <col min="87" max="87" width="20.7109375" style="72" bestFit="1" customWidth="1" collapsed="1"/>
    <col min="88" max="88" width="17.5703125" style="72" bestFit="1" customWidth="1" collapsed="1"/>
    <col min="89" max="89" width="19.85546875" style="72" bestFit="1" customWidth="1" collapsed="1"/>
    <col min="90" max="90" width="14.140625" style="72" bestFit="1" customWidth="1" collapsed="1"/>
    <col min="91" max="91" width="18.5703125" style="72" bestFit="1" customWidth="1" collapsed="1"/>
    <col min="92" max="16384" width="9.140625" style="72" collapsed="1"/>
  </cols>
  <sheetData>
    <row r="1" spans="1:91" x14ac:dyDescent="0.25">
      <c r="A1" s="70" t="s">
        <v>0</v>
      </c>
      <c r="B1" s="70" t="s">
        <v>18</v>
      </c>
      <c r="C1" s="70" t="s">
        <v>1780</v>
      </c>
      <c r="D1" s="136" t="s">
        <v>1781</v>
      </c>
      <c r="E1" s="137" t="s">
        <v>1543</v>
      </c>
      <c r="F1" s="70" t="s">
        <v>69</v>
      </c>
      <c r="G1" s="70" t="s">
        <v>1782</v>
      </c>
      <c r="H1" s="70" t="s">
        <v>1783</v>
      </c>
      <c r="I1" s="70" t="s">
        <v>1219</v>
      </c>
      <c r="J1" s="70" t="s">
        <v>1604</v>
      </c>
      <c r="K1" s="69" t="s">
        <v>835</v>
      </c>
      <c r="L1" s="69" t="s">
        <v>1784</v>
      </c>
      <c r="M1" s="69" t="s">
        <v>1785</v>
      </c>
      <c r="N1" s="138" t="s">
        <v>1786</v>
      </c>
      <c r="O1" s="138" t="s">
        <v>1787</v>
      </c>
      <c r="P1" s="69" t="s">
        <v>1788</v>
      </c>
      <c r="Q1" s="69" t="s">
        <v>1789</v>
      </c>
      <c r="R1" s="69" t="s">
        <v>1790</v>
      </c>
      <c r="S1" s="69" t="s">
        <v>1791</v>
      </c>
      <c r="T1" s="69" t="s">
        <v>1792</v>
      </c>
      <c r="U1" s="69" t="s">
        <v>1793</v>
      </c>
      <c r="V1" s="69"/>
      <c r="W1" s="139" t="s">
        <v>1787</v>
      </c>
      <c r="X1" s="5" t="s">
        <v>1216</v>
      </c>
      <c r="Y1" s="5" t="s">
        <v>1794</v>
      </c>
      <c r="Z1" s="140" t="s">
        <v>1795</v>
      </c>
      <c r="AA1" s="5" t="s">
        <v>1216</v>
      </c>
      <c r="AB1" s="5" t="s">
        <v>1431</v>
      </c>
      <c r="AC1" s="69" t="s">
        <v>805</v>
      </c>
      <c r="AD1" s="5" t="s">
        <v>1541</v>
      </c>
      <c r="AE1" s="5" t="s">
        <v>1542</v>
      </c>
      <c r="AF1" s="69" t="s">
        <v>805</v>
      </c>
      <c r="AG1" s="5" t="s">
        <v>1543</v>
      </c>
      <c r="AH1" s="69" t="s">
        <v>805</v>
      </c>
      <c r="AI1" s="69" t="s">
        <v>1431</v>
      </c>
      <c r="AJ1" s="69" t="s">
        <v>1264</v>
      </c>
      <c r="AK1" s="5" t="s">
        <v>1542</v>
      </c>
      <c r="AL1" s="5" t="s">
        <v>805</v>
      </c>
      <c r="AM1" s="5" t="s">
        <v>1543</v>
      </c>
      <c r="AN1" s="5" t="s">
        <v>805</v>
      </c>
      <c r="AO1" s="69" t="s">
        <v>837</v>
      </c>
      <c r="AP1" s="70" t="s">
        <v>1796</v>
      </c>
      <c r="AQ1" s="70" t="s">
        <v>838</v>
      </c>
      <c r="AR1" s="70" t="s">
        <v>1797</v>
      </c>
      <c r="AS1" s="69" t="s">
        <v>1798</v>
      </c>
      <c r="AT1" s="69" t="s">
        <v>1544</v>
      </c>
      <c r="AU1" s="69" t="s">
        <v>1488</v>
      </c>
      <c r="AV1" s="69" t="s">
        <v>1799</v>
      </c>
      <c r="AW1" s="141" t="s">
        <v>1800</v>
      </c>
      <c r="AX1" s="140" t="s">
        <v>1801</v>
      </c>
      <c r="AY1" s="141" t="s">
        <v>1802</v>
      </c>
      <c r="AZ1" s="142" t="s">
        <v>1803</v>
      </c>
      <c r="BA1" s="141" t="s">
        <v>1804</v>
      </c>
      <c r="BB1" s="141" t="s">
        <v>1805</v>
      </c>
      <c r="BC1" s="141" t="s">
        <v>1806</v>
      </c>
      <c r="BD1" s="141" t="s">
        <v>1807</v>
      </c>
      <c r="BE1" s="70" t="s">
        <v>1808</v>
      </c>
      <c r="BF1" s="70" t="s">
        <v>1809</v>
      </c>
      <c r="BG1" s="70" t="s">
        <v>1810</v>
      </c>
      <c r="BH1" s="70" t="s">
        <v>1811</v>
      </c>
      <c r="BI1" s="70" t="s">
        <v>1812</v>
      </c>
      <c r="BJ1" s="70" t="s">
        <v>1813</v>
      </c>
      <c r="BK1" s="70" t="s">
        <v>1814</v>
      </c>
      <c r="BL1" s="70" t="s">
        <v>1219</v>
      </c>
      <c r="BM1" s="70" t="s">
        <v>1604</v>
      </c>
      <c r="BN1" s="70" t="s">
        <v>1815</v>
      </c>
      <c r="BO1" s="70" t="s">
        <v>1816</v>
      </c>
      <c r="BP1" s="70" t="s">
        <v>805</v>
      </c>
      <c r="BQ1" s="70" t="s">
        <v>204</v>
      </c>
      <c r="BR1" s="70" t="s">
        <v>959</v>
      </c>
      <c r="BS1" s="70" t="s">
        <v>1608</v>
      </c>
      <c r="BT1" s="70" t="s">
        <v>1817</v>
      </c>
      <c r="BU1" s="69" t="s">
        <v>68</v>
      </c>
      <c r="BV1" s="69" t="s">
        <v>303</v>
      </c>
      <c r="BW1" s="69" t="s">
        <v>125</v>
      </c>
      <c r="BX1" s="69" t="s">
        <v>309</v>
      </c>
      <c r="BY1" s="69" t="s">
        <v>304</v>
      </c>
      <c r="BZ1" s="69" t="s">
        <v>834</v>
      </c>
      <c r="CA1" s="69" t="s">
        <v>1818</v>
      </c>
      <c r="CB1" s="69" t="s">
        <v>1819</v>
      </c>
      <c r="CC1" s="69" t="s">
        <v>1820</v>
      </c>
      <c r="CD1" s="69" t="s">
        <v>1821</v>
      </c>
      <c r="CE1" s="69" t="s">
        <v>1197</v>
      </c>
      <c r="CF1" s="69" t="s">
        <v>1822</v>
      </c>
      <c r="CG1" s="69" t="s">
        <v>1823</v>
      </c>
      <c r="CH1" s="69" t="s">
        <v>1824</v>
      </c>
      <c r="CI1" s="69" t="s">
        <v>1794</v>
      </c>
      <c r="CJ1" s="69" t="s">
        <v>837</v>
      </c>
      <c r="CK1" s="69" t="s">
        <v>1544</v>
      </c>
      <c r="CL1" s="69" t="s">
        <v>1219</v>
      </c>
      <c r="CM1" s="143" t="s">
        <v>1825</v>
      </c>
    </row>
    <row r="2" spans="1:91" x14ac:dyDescent="0.25">
      <c r="A2" s="73" t="s">
        <v>1229</v>
      </c>
      <c r="B2" s="73">
        <v>1</v>
      </c>
      <c r="C2" s="73"/>
      <c r="D2" s="73"/>
      <c r="E2" s="73"/>
      <c r="F2" s="73" t="s">
        <v>3</v>
      </c>
      <c r="G2" s="73" t="s">
        <v>3</v>
      </c>
      <c r="H2" s="73" t="s">
        <v>3</v>
      </c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 t="s">
        <v>3</v>
      </c>
      <c r="AP2" s="73"/>
      <c r="AQ2" s="73" t="s">
        <v>3</v>
      </c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</row>
    <row r="3" spans="1:91" x14ac:dyDescent="0.25">
      <c r="A3" s="73" t="s">
        <v>1230</v>
      </c>
      <c r="B3" s="73">
        <v>1</v>
      </c>
      <c r="C3" s="73"/>
      <c r="D3" s="73"/>
      <c r="E3" s="73"/>
      <c r="F3" s="73" t="s">
        <v>3</v>
      </c>
      <c r="G3" s="73" t="s">
        <v>3</v>
      </c>
      <c r="H3" s="73" t="s">
        <v>3</v>
      </c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 t="s">
        <v>3</v>
      </c>
      <c r="AP3" s="73"/>
      <c r="AQ3" s="73"/>
      <c r="AR3" s="73"/>
      <c r="AS3" s="73"/>
      <c r="AT3" s="73" t="s">
        <v>3</v>
      </c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 t="s">
        <v>3</v>
      </c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</row>
    <row r="4" spans="1:91" x14ac:dyDescent="0.25">
      <c r="A4" s="73" t="s">
        <v>2020</v>
      </c>
      <c r="B4" s="73">
        <v>1</v>
      </c>
      <c r="C4" s="73"/>
      <c r="D4" s="73"/>
      <c r="E4" s="73"/>
      <c r="F4" s="73" t="s">
        <v>3</v>
      </c>
      <c r="G4" s="73" t="s">
        <v>3</v>
      </c>
      <c r="H4" s="73" t="s">
        <v>3</v>
      </c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 t="s">
        <v>3</v>
      </c>
      <c r="AP4" s="73"/>
      <c r="AQ4" s="73" t="s">
        <v>3</v>
      </c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</row>
    <row r="5" spans="1:91" x14ac:dyDescent="0.25">
      <c r="A5" s="73" t="s">
        <v>2021</v>
      </c>
      <c r="B5" s="73">
        <v>1</v>
      </c>
      <c r="C5" s="73"/>
      <c r="D5" s="73"/>
      <c r="E5" s="73"/>
      <c r="F5" s="73" t="s">
        <v>3</v>
      </c>
      <c r="G5" s="73" t="s">
        <v>3</v>
      </c>
      <c r="H5" s="73" t="s">
        <v>3</v>
      </c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 t="s">
        <v>308</v>
      </c>
      <c r="AJ5" s="73">
        <v>100</v>
      </c>
      <c r="AK5" s="73" t="s">
        <v>3</v>
      </c>
      <c r="AL5" s="73" t="s">
        <v>1547</v>
      </c>
      <c r="AM5" s="73" t="s">
        <v>3</v>
      </c>
      <c r="AN5" s="73" t="s">
        <v>1419</v>
      </c>
      <c r="AO5" s="73" t="s">
        <v>3</v>
      </c>
      <c r="AP5" s="73"/>
      <c r="AQ5" s="73"/>
      <c r="AR5" s="73"/>
      <c r="AS5" s="73"/>
      <c r="AT5" s="73" t="s">
        <v>3</v>
      </c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 t="s">
        <v>3</v>
      </c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</row>
    <row r="6" spans="1:91" x14ac:dyDescent="0.25">
      <c r="A6" s="73" t="s">
        <v>1826</v>
      </c>
      <c r="B6" s="73">
        <v>1</v>
      </c>
      <c r="C6" s="73"/>
      <c r="D6" s="73"/>
      <c r="E6" s="73"/>
      <c r="F6" s="73" t="s">
        <v>3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5"/>
      <c r="AL6" s="5"/>
      <c r="AM6" s="5"/>
      <c r="AN6" s="5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 t="s">
        <v>3</v>
      </c>
      <c r="BF6" s="73"/>
      <c r="BG6" s="73" t="s">
        <v>3</v>
      </c>
      <c r="BH6" s="73"/>
      <c r="BI6" s="73"/>
      <c r="BJ6" s="73"/>
      <c r="BK6" s="73"/>
      <c r="BL6" s="73" t="s">
        <v>3</v>
      </c>
      <c r="BM6" s="73"/>
      <c r="BN6" s="73"/>
      <c r="BO6" s="73" t="s">
        <v>3</v>
      </c>
      <c r="BP6" s="73"/>
      <c r="BQ6" s="73" t="s">
        <v>1827</v>
      </c>
      <c r="BR6" s="70"/>
      <c r="BS6" s="70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</row>
    <row r="7" spans="1:91" x14ac:dyDescent="0.25">
      <c r="A7" s="73" t="s">
        <v>1828</v>
      </c>
      <c r="B7" s="73">
        <v>1</v>
      </c>
      <c r="C7" s="73"/>
      <c r="D7" s="73"/>
      <c r="E7" s="73"/>
      <c r="F7" s="73" t="s">
        <v>3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 t="s">
        <v>3</v>
      </c>
      <c r="BF7" s="73"/>
      <c r="BG7" s="73"/>
      <c r="BH7" s="73"/>
      <c r="BI7" s="73"/>
      <c r="BJ7" s="73"/>
      <c r="BK7" s="73"/>
      <c r="BL7" s="73"/>
      <c r="BM7" s="73"/>
      <c r="BN7" s="73" t="s">
        <v>3</v>
      </c>
      <c r="BO7" s="73"/>
      <c r="BP7" s="73"/>
      <c r="BQ7" s="68" t="s">
        <v>1829</v>
      </c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</row>
    <row r="8" spans="1:91" x14ac:dyDescent="0.25">
      <c r="A8" s="73" t="s">
        <v>1830</v>
      </c>
      <c r="B8" s="73">
        <v>1</v>
      </c>
      <c r="C8" s="73"/>
      <c r="D8" s="73"/>
      <c r="E8" s="73"/>
      <c r="F8" s="73" t="s">
        <v>3</v>
      </c>
      <c r="G8" s="73" t="s">
        <v>3</v>
      </c>
      <c r="H8" s="73" t="s">
        <v>3</v>
      </c>
      <c r="I8" s="73" t="s">
        <v>3</v>
      </c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 t="s">
        <v>1342</v>
      </c>
      <c r="AP8" s="73"/>
      <c r="AQ8" s="73"/>
      <c r="AR8" s="73"/>
      <c r="AS8" s="73"/>
      <c r="AT8" s="73"/>
      <c r="AU8" s="73" t="s">
        <v>3</v>
      </c>
      <c r="AV8" s="73" t="s">
        <v>3</v>
      </c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 t="s">
        <v>3</v>
      </c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</row>
    <row r="9" spans="1:91" x14ac:dyDescent="0.25">
      <c r="A9" s="73" t="s">
        <v>1830</v>
      </c>
      <c r="B9" s="73">
        <v>2</v>
      </c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 t="s">
        <v>3</v>
      </c>
      <c r="AV9" s="73" t="s">
        <v>3</v>
      </c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 t="s">
        <v>3</v>
      </c>
      <c r="BM9" s="73"/>
      <c r="BN9" s="73"/>
      <c r="BO9" s="73"/>
      <c r="BP9" s="73"/>
      <c r="BQ9" s="73" t="s">
        <v>1831</v>
      </c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</row>
    <row r="10" spans="1:91" x14ac:dyDescent="0.25">
      <c r="A10" s="73" t="s">
        <v>1830</v>
      </c>
      <c r="B10" s="73">
        <v>3</v>
      </c>
      <c r="C10" s="73"/>
      <c r="D10" s="73"/>
      <c r="E10" s="73"/>
      <c r="F10" s="73" t="s">
        <v>3</v>
      </c>
      <c r="G10" s="73" t="s">
        <v>3</v>
      </c>
      <c r="H10" s="73" t="s">
        <v>3</v>
      </c>
      <c r="I10" s="73" t="s">
        <v>3</v>
      </c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 t="s">
        <v>1832</v>
      </c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</row>
    <row r="11" spans="1:91" x14ac:dyDescent="0.25">
      <c r="A11" s="73" t="s">
        <v>1830</v>
      </c>
      <c r="B11" s="73">
        <v>4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68" t="s">
        <v>1833</v>
      </c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</row>
    <row r="12" spans="1:91" x14ac:dyDescent="0.25">
      <c r="A12" s="73" t="s">
        <v>1834</v>
      </c>
      <c r="B12" s="73">
        <v>1</v>
      </c>
      <c r="C12" s="73"/>
      <c r="D12" s="73"/>
      <c r="E12" s="73"/>
      <c r="F12" s="73" t="s">
        <v>3</v>
      </c>
      <c r="G12" s="73" t="s">
        <v>3</v>
      </c>
      <c r="H12" s="73" t="s">
        <v>3</v>
      </c>
      <c r="I12" s="73" t="s">
        <v>3</v>
      </c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 t="s">
        <v>3</v>
      </c>
      <c r="AP12" s="73"/>
      <c r="AQ12" s="73"/>
      <c r="AR12" s="73"/>
      <c r="AS12" s="73"/>
      <c r="AT12" s="73" t="s">
        <v>3</v>
      </c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 t="s">
        <v>3</v>
      </c>
      <c r="BM12" s="73"/>
      <c r="BN12" s="73"/>
      <c r="BO12" s="73"/>
      <c r="BP12" s="73"/>
      <c r="BQ12" s="68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</row>
    <row r="13" spans="1:91" x14ac:dyDescent="0.25">
      <c r="A13" s="73" t="s">
        <v>1834</v>
      </c>
      <c r="B13" s="73">
        <v>2</v>
      </c>
      <c r="C13" s="73"/>
      <c r="D13" s="73"/>
      <c r="E13" s="73"/>
      <c r="F13" s="73" t="s">
        <v>3</v>
      </c>
      <c r="G13" s="73" t="s">
        <v>3</v>
      </c>
      <c r="H13" s="73" t="s">
        <v>3</v>
      </c>
      <c r="I13" s="73" t="s">
        <v>3</v>
      </c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 t="s">
        <v>3</v>
      </c>
      <c r="AP13" s="73"/>
      <c r="AQ13" s="73"/>
      <c r="AR13" s="73"/>
      <c r="AS13" s="73"/>
      <c r="AT13" s="73" t="s">
        <v>3</v>
      </c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 t="s">
        <v>3</v>
      </c>
      <c r="BM13" s="73"/>
      <c r="BN13" s="73"/>
      <c r="BO13" s="73"/>
      <c r="BP13" s="73"/>
      <c r="BQ13" s="73"/>
      <c r="BR13" s="73"/>
      <c r="BS13" s="73" t="s">
        <v>1835</v>
      </c>
      <c r="BT13" s="73" t="s">
        <v>3</v>
      </c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</row>
    <row r="14" spans="1:91" s="73" customFormat="1" x14ac:dyDescent="0.25">
      <c r="A14" s="73" t="s">
        <v>1836</v>
      </c>
      <c r="B14" s="73">
        <v>1</v>
      </c>
      <c r="F14" s="73" t="s">
        <v>3</v>
      </c>
      <c r="G14" s="73" t="s">
        <v>3</v>
      </c>
      <c r="H14" s="73" t="s">
        <v>3</v>
      </c>
      <c r="I14" s="73" t="s">
        <v>3</v>
      </c>
      <c r="BQ14" s="68"/>
      <c r="BR14" s="73" t="s">
        <v>1837</v>
      </c>
      <c r="CM14" s="112"/>
    </row>
    <row r="15" spans="1:91" x14ac:dyDescent="0.25">
      <c r="A15" s="73" t="s">
        <v>1836</v>
      </c>
      <c r="B15" s="73">
        <v>2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 t="s">
        <v>1838</v>
      </c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</row>
    <row r="16" spans="1:91" x14ac:dyDescent="0.25">
      <c r="A16" s="73" t="s">
        <v>1836</v>
      </c>
      <c r="B16" s="73">
        <v>3</v>
      </c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 t="s">
        <v>1839</v>
      </c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</row>
    <row r="17" spans="1:91" x14ac:dyDescent="0.25">
      <c r="A17" s="73" t="s">
        <v>1836</v>
      </c>
      <c r="B17" s="73">
        <v>4</v>
      </c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69"/>
      <c r="BR17" s="73" t="s">
        <v>1840</v>
      </c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</row>
    <row r="18" spans="1:91" s="73" customFormat="1" x14ac:dyDescent="0.25">
      <c r="A18" s="73" t="s">
        <v>1841</v>
      </c>
      <c r="B18" s="73">
        <v>1</v>
      </c>
      <c r="F18" s="73" t="s">
        <v>3</v>
      </c>
      <c r="G18" s="73" t="s">
        <v>3</v>
      </c>
      <c r="H18" s="73" t="s">
        <v>3</v>
      </c>
      <c r="J18" s="73" t="s">
        <v>3</v>
      </c>
      <c r="BQ18" s="68"/>
      <c r="BR18" s="73" t="s">
        <v>1842</v>
      </c>
      <c r="CM18" s="112"/>
    </row>
    <row r="19" spans="1:91" s="73" customFormat="1" x14ac:dyDescent="0.25">
      <c r="A19" s="73" t="s">
        <v>1843</v>
      </c>
      <c r="B19" s="73">
        <v>1</v>
      </c>
      <c r="F19" s="73" t="s">
        <v>3</v>
      </c>
      <c r="G19" s="73" t="s">
        <v>3</v>
      </c>
      <c r="H19" s="73" t="s">
        <v>3</v>
      </c>
      <c r="J19" s="73" t="s">
        <v>3</v>
      </c>
      <c r="BR19" s="73" t="s">
        <v>1842</v>
      </c>
      <c r="CM19" s="112"/>
    </row>
    <row r="20" spans="1:91" s="73" customFormat="1" x14ac:dyDescent="0.25">
      <c r="A20" s="73" t="s">
        <v>1843</v>
      </c>
      <c r="B20" s="73">
        <v>2</v>
      </c>
      <c r="F20" s="73" t="s">
        <v>3</v>
      </c>
      <c r="G20" s="73" t="s">
        <v>3</v>
      </c>
      <c r="H20" s="73" t="s">
        <v>3</v>
      </c>
      <c r="BQ20" s="73" t="s">
        <v>1832</v>
      </c>
      <c r="CM20" s="112"/>
    </row>
    <row r="21" spans="1:91" s="73" customFormat="1" x14ac:dyDescent="0.25">
      <c r="A21" s="73" t="s">
        <v>1843</v>
      </c>
      <c r="B21" s="73">
        <v>3</v>
      </c>
      <c r="I21" s="73" t="s">
        <v>3</v>
      </c>
      <c r="BN21" s="69"/>
      <c r="BO21" s="69"/>
      <c r="BP21" s="69"/>
      <c r="BQ21" s="68" t="s">
        <v>1833</v>
      </c>
      <c r="CM21" s="112"/>
    </row>
    <row r="22" spans="1:91" s="73" customFormat="1" x14ac:dyDescent="0.25">
      <c r="A22" s="73" t="s">
        <v>1843</v>
      </c>
      <c r="B22" s="73">
        <v>4</v>
      </c>
      <c r="AO22" s="73" t="s">
        <v>3</v>
      </c>
      <c r="AS22" s="73" t="s">
        <v>3</v>
      </c>
      <c r="BN22" s="69"/>
      <c r="BO22" s="69"/>
      <c r="BP22" s="69"/>
      <c r="BQ22" s="73" t="s">
        <v>1844</v>
      </c>
      <c r="CM22" s="112"/>
    </row>
    <row r="23" spans="1:91" s="73" customFormat="1" x14ac:dyDescent="0.25">
      <c r="A23" s="73" t="s">
        <v>1843</v>
      </c>
      <c r="B23" s="73">
        <v>5</v>
      </c>
      <c r="BL23" s="73" t="s">
        <v>3</v>
      </c>
      <c r="BN23" s="69"/>
      <c r="BO23" s="69"/>
      <c r="BP23" s="14" t="s">
        <v>1845</v>
      </c>
      <c r="CM23" s="112"/>
    </row>
    <row r="24" spans="1:91" s="73" customFormat="1" x14ac:dyDescent="0.25">
      <c r="A24" s="73" t="s">
        <v>1843</v>
      </c>
      <c r="B24" s="73">
        <v>6</v>
      </c>
      <c r="X24" s="67" t="s">
        <v>1846</v>
      </c>
      <c r="Y24" s="73" t="s">
        <v>3</v>
      </c>
      <c r="AA24" s="67"/>
      <c r="AB24" s="73" t="s">
        <v>3</v>
      </c>
      <c r="AC24" s="2" t="s">
        <v>1847</v>
      </c>
      <c r="AD24" s="67" t="s">
        <v>1848</v>
      </c>
      <c r="AE24" s="12" t="s">
        <v>3</v>
      </c>
      <c r="AF24" s="12" t="s">
        <v>1547</v>
      </c>
      <c r="AG24" s="73" t="s">
        <v>3</v>
      </c>
      <c r="AH24" s="12" t="s">
        <v>1419</v>
      </c>
      <c r="AI24" s="12"/>
      <c r="AJ24" s="12"/>
      <c r="AK24" s="12"/>
      <c r="AL24" s="12"/>
      <c r="AM24" s="12"/>
      <c r="AN24" s="12"/>
      <c r="AO24" s="73" t="s">
        <v>3</v>
      </c>
      <c r="AT24" s="73" t="s">
        <v>3</v>
      </c>
      <c r="BN24" s="69"/>
      <c r="BO24" s="69"/>
      <c r="BP24" s="69"/>
      <c r="BQ24" s="73" t="s">
        <v>1849</v>
      </c>
      <c r="CM24" s="112"/>
    </row>
    <row r="25" spans="1:91" s="73" customFormat="1" x14ac:dyDescent="0.25">
      <c r="A25" s="73" t="s">
        <v>1843</v>
      </c>
      <c r="B25" s="73">
        <v>7</v>
      </c>
      <c r="BL25" s="73" t="s">
        <v>3</v>
      </c>
      <c r="BN25" s="69"/>
      <c r="BO25" s="69"/>
      <c r="BP25" s="2" t="s">
        <v>1274</v>
      </c>
      <c r="BQ25" s="73" t="s">
        <v>1850</v>
      </c>
      <c r="CM25" s="112"/>
    </row>
    <row r="26" spans="1:91" x14ac:dyDescent="0.25">
      <c r="A26" s="73" t="s">
        <v>1843</v>
      </c>
      <c r="B26" s="73">
        <v>8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 t="s">
        <v>1851</v>
      </c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</row>
    <row r="27" spans="1:91" x14ac:dyDescent="0.25">
      <c r="A27" s="73" t="s">
        <v>1843</v>
      </c>
      <c r="B27" s="73">
        <v>9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 t="s">
        <v>1852</v>
      </c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</row>
    <row r="28" spans="1:91" x14ac:dyDescent="0.25">
      <c r="A28" s="73" t="s">
        <v>1843</v>
      </c>
      <c r="B28" s="73">
        <v>10</v>
      </c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 t="s">
        <v>1853</v>
      </c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</row>
    <row r="29" spans="1:91" x14ac:dyDescent="0.25">
      <c r="A29" s="73" t="s">
        <v>1843</v>
      </c>
      <c r="B29" s="73">
        <v>11</v>
      </c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 t="s">
        <v>1854</v>
      </c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</row>
    <row r="30" spans="1:91" x14ac:dyDescent="0.25">
      <c r="A30" s="73" t="s">
        <v>1843</v>
      </c>
      <c r="B30" s="73">
        <v>12</v>
      </c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 t="s">
        <v>1855</v>
      </c>
      <c r="BS30" s="69"/>
      <c r="BT30" s="69"/>
      <c r="BU30" s="69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</row>
    <row r="31" spans="1:91" x14ac:dyDescent="0.25">
      <c r="A31" s="73" t="s">
        <v>1843</v>
      </c>
      <c r="B31" s="73">
        <v>13</v>
      </c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 t="s">
        <v>1856</v>
      </c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</row>
    <row r="32" spans="1:91" x14ac:dyDescent="0.25">
      <c r="A32" s="73" t="s">
        <v>1843</v>
      </c>
      <c r="B32" s="73">
        <v>14</v>
      </c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 t="s">
        <v>1857</v>
      </c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</row>
    <row r="33" spans="1:91" x14ac:dyDescent="0.25">
      <c r="A33" s="73" t="s">
        <v>1843</v>
      </c>
      <c r="B33" s="73">
        <v>15</v>
      </c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 t="s">
        <v>1858</v>
      </c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</row>
    <row r="34" spans="1:91" x14ac:dyDescent="0.25">
      <c r="A34" s="73" t="s">
        <v>1843</v>
      </c>
      <c r="B34" s="73">
        <v>16</v>
      </c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 t="s">
        <v>1859</v>
      </c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</row>
    <row r="35" spans="1:91" x14ac:dyDescent="0.25">
      <c r="A35" s="73" t="s">
        <v>1843</v>
      </c>
      <c r="B35" s="73">
        <v>17</v>
      </c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 t="s">
        <v>1860</v>
      </c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</row>
    <row r="36" spans="1:91" x14ac:dyDescent="0.25">
      <c r="A36" s="73" t="s">
        <v>1843</v>
      </c>
      <c r="B36" s="73">
        <v>18</v>
      </c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 t="s">
        <v>1861</v>
      </c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</row>
    <row r="37" spans="1:91" x14ac:dyDescent="0.25">
      <c r="A37" s="73" t="s">
        <v>1843</v>
      </c>
      <c r="B37" s="73">
        <v>19</v>
      </c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 t="s">
        <v>1862</v>
      </c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</row>
    <row r="38" spans="1:91" ht="60" x14ac:dyDescent="0.25">
      <c r="A38" s="73" t="s">
        <v>1863</v>
      </c>
      <c r="B38" s="73">
        <v>1</v>
      </c>
      <c r="C38" s="73"/>
      <c r="D38" s="73"/>
      <c r="E38" s="73"/>
      <c r="F38" s="73" t="s">
        <v>3</v>
      </c>
      <c r="G38" s="73" t="s">
        <v>3</v>
      </c>
      <c r="H38" s="73" t="s">
        <v>3</v>
      </c>
      <c r="I38" s="73" t="s">
        <v>3</v>
      </c>
      <c r="J38" s="73"/>
      <c r="K38" s="73"/>
      <c r="L38" s="73"/>
      <c r="M38" s="73"/>
      <c r="N38" s="73"/>
      <c r="O38" s="73"/>
      <c r="P38" s="73"/>
      <c r="Q38" s="73" t="s">
        <v>3</v>
      </c>
      <c r="R38" s="73"/>
      <c r="S38" s="73"/>
      <c r="T38" s="73"/>
      <c r="U38" s="73"/>
      <c r="V38" s="73"/>
      <c r="W38" s="73"/>
      <c r="X38" s="73"/>
      <c r="Y38" s="73"/>
      <c r="Z38" s="73"/>
      <c r="AA38" s="67" t="s">
        <v>1864</v>
      </c>
      <c r="AB38" s="73" t="s">
        <v>3</v>
      </c>
      <c r="AC38" s="2" t="s">
        <v>1847</v>
      </c>
      <c r="AD38" s="67" t="s">
        <v>1848</v>
      </c>
      <c r="AE38" s="67" t="s">
        <v>3</v>
      </c>
      <c r="AF38" s="12" t="s">
        <v>1547</v>
      </c>
      <c r="AG38" s="73" t="s">
        <v>3</v>
      </c>
      <c r="AH38" s="12" t="s">
        <v>1419</v>
      </c>
      <c r="AI38" s="12"/>
      <c r="AJ38" s="12"/>
      <c r="AK38" s="12"/>
      <c r="AL38" s="12"/>
      <c r="AM38" s="12"/>
      <c r="AN38" s="12"/>
      <c r="AO38" s="73" t="s">
        <v>3</v>
      </c>
      <c r="AP38" s="73"/>
      <c r="AQ38" s="73"/>
      <c r="AR38" s="73"/>
      <c r="AS38" s="73"/>
      <c r="AT38" s="73" t="s">
        <v>3</v>
      </c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 t="s">
        <v>3</v>
      </c>
      <c r="BM38" s="73"/>
      <c r="BN38" s="73"/>
      <c r="BO38" s="73"/>
      <c r="BP38" s="73"/>
      <c r="BQ38" s="68"/>
      <c r="BR38" s="73"/>
      <c r="BS38" s="95" t="s">
        <v>1865</v>
      </c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</row>
    <row r="39" spans="1:91" x14ac:dyDescent="0.25">
      <c r="A39" s="73" t="s">
        <v>1866</v>
      </c>
      <c r="B39" s="73">
        <v>1</v>
      </c>
      <c r="C39" s="73"/>
      <c r="D39" s="73"/>
      <c r="E39" s="73"/>
      <c r="F39" s="73" t="s">
        <v>3</v>
      </c>
      <c r="G39" s="73" t="s">
        <v>3</v>
      </c>
      <c r="H39" s="73" t="s">
        <v>3</v>
      </c>
      <c r="I39" s="73" t="s">
        <v>3</v>
      </c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 t="s">
        <v>3</v>
      </c>
      <c r="AP39" s="73"/>
      <c r="AQ39" s="73"/>
      <c r="AR39" s="73"/>
      <c r="AS39" s="73"/>
      <c r="AT39" s="73" t="s">
        <v>3</v>
      </c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 t="s">
        <v>3</v>
      </c>
      <c r="BM39" s="73"/>
      <c r="BN39" s="73"/>
      <c r="BO39" s="73"/>
      <c r="BP39" s="73"/>
      <c r="BQ39" s="68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</row>
    <row r="40" spans="1:91" x14ac:dyDescent="0.25">
      <c r="A40" s="73" t="s">
        <v>1866</v>
      </c>
      <c r="B40" s="73">
        <v>2</v>
      </c>
      <c r="C40" s="73" t="s">
        <v>3</v>
      </c>
      <c r="D40" s="73"/>
      <c r="E40" s="73"/>
      <c r="F40" s="73" t="s">
        <v>3</v>
      </c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68"/>
      <c r="BR40" s="73"/>
      <c r="BS40" s="73"/>
      <c r="BT40" s="73"/>
      <c r="BU40" s="73" t="s">
        <v>3</v>
      </c>
      <c r="BV40" s="73" t="s">
        <v>3</v>
      </c>
      <c r="BW40" s="73" t="s">
        <v>1178</v>
      </c>
      <c r="BX40" s="74" t="s">
        <v>310</v>
      </c>
      <c r="BY40" s="73" t="s">
        <v>1179</v>
      </c>
      <c r="BZ40" s="73" t="s">
        <v>1181</v>
      </c>
      <c r="CA40" s="67" t="s">
        <v>3</v>
      </c>
      <c r="CB40" s="73" t="s">
        <v>1867</v>
      </c>
      <c r="CC40" s="144" t="s">
        <v>3</v>
      </c>
      <c r="CD40" s="73" t="s">
        <v>3</v>
      </c>
      <c r="CE40" s="73" t="s">
        <v>1182</v>
      </c>
      <c r="CF40" s="105" t="s">
        <v>1868</v>
      </c>
      <c r="CG40" s="105" t="s">
        <v>1869</v>
      </c>
      <c r="CH40" s="105" t="s">
        <v>1870</v>
      </c>
      <c r="CI40" s="73" t="s">
        <v>3</v>
      </c>
      <c r="CJ40" s="73" t="s">
        <v>3</v>
      </c>
      <c r="CK40" s="73" t="s">
        <v>3</v>
      </c>
      <c r="CL40" s="73" t="s">
        <v>3</v>
      </c>
    </row>
    <row r="41" spans="1:91" x14ac:dyDescent="0.25">
      <c r="A41" s="73" t="s">
        <v>1866</v>
      </c>
      <c r="B41" s="73">
        <v>3</v>
      </c>
      <c r="C41" s="73"/>
      <c r="D41" s="73"/>
      <c r="E41" s="73"/>
      <c r="F41" s="73" t="s">
        <v>3</v>
      </c>
      <c r="G41" s="73" t="s">
        <v>3</v>
      </c>
      <c r="H41" s="73" t="s">
        <v>3</v>
      </c>
      <c r="I41" s="73" t="s">
        <v>3</v>
      </c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 t="s">
        <v>3</v>
      </c>
      <c r="AP41" s="73"/>
      <c r="AQ41" s="73"/>
      <c r="AR41" s="73"/>
      <c r="AS41" s="73"/>
      <c r="AT41" s="73" t="s">
        <v>3</v>
      </c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 t="s">
        <v>3</v>
      </c>
      <c r="BM41" s="73"/>
      <c r="BN41" s="73"/>
      <c r="BO41" s="73"/>
      <c r="BP41" s="73"/>
      <c r="BQ41" s="68"/>
      <c r="BR41" s="73"/>
      <c r="BS41" s="73" t="s">
        <v>1835</v>
      </c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</row>
    <row r="42" spans="1:91" x14ac:dyDescent="0.25">
      <c r="A42" s="73" t="s">
        <v>1871</v>
      </c>
      <c r="B42" s="73">
        <v>1</v>
      </c>
      <c r="C42" s="73"/>
      <c r="D42" s="73"/>
      <c r="E42" s="73"/>
      <c r="F42" s="73" t="s">
        <v>3</v>
      </c>
      <c r="G42" s="73" t="s">
        <v>3</v>
      </c>
      <c r="H42" s="73" t="s">
        <v>3</v>
      </c>
      <c r="I42" s="73" t="s">
        <v>3</v>
      </c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 t="s">
        <v>3</v>
      </c>
      <c r="AP42" s="73" t="s">
        <v>3</v>
      </c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2"/>
      <c r="BQ42" s="145" t="s">
        <v>1872</v>
      </c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</row>
    <row r="43" spans="1:91" s="73" customFormat="1" x14ac:dyDescent="0.25">
      <c r="A43" s="73" t="s">
        <v>1871</v>
      </c>
      <c r="B43" s="73">
        <v>2</v>
      </c>
      <c r="BL43" s="73" t="s">
        <v>3</v>
      </c>
      <c r="BP43" s="2" t="s">
        <v>1873</v>
      </c>
      <c r="BQ43" s="68" t="s">
        <v>1833</v>
      </c>
      <c r="BS43" s="70"/>
      <c r="CM43" s="112"/>
    </row>
    <row r="44" spans="1:91" s="73" customFormat="1" x14ac:dyDescent="0.25">
      <c r="A44" s="73" t="s">
        <v>1874</v>
      </c>
      <c r="B44" s="73">
        <v>1</v>
      </c>
      <c r="F44" s="73" t="s">
        <v>3</v>
      </c>
      <c r="G44" s="73" t="s">
        <v>3</v>
      </c>
      <c r="H44" s="73" t="s">
        <v>3</v>
      </c>
      <c r="I44" s="73" t="s">
        <v>3</v>
      </c>
      <c r="AO44" s="73" t="s">
        <v>3</v>
      </c>
      <c r="AS44" s="73" t="s">
        <v>3</v>
      </c>
      <c r="BL44" s="73" t="s">
        <v>3</v>
      </c>
      <c r="BP44" s="14" t="s">
        <v>1845</v>
      </c>
      <c r="BQ44" s="68"/>
      <c r="BS44" s="70"/>
      <c r="CM44" s="112"/>
    </row>
    <row r="45" spans="1:91" s="73" customFormat="1" x14ac:dyDescent="0.25">
      <c r="A45" s="73" t="s">
        <v>1874</v>
      </c>
      <c r="B45" s="73">
        <v>2</v>
      </c>
      <c r="Y45" s="73" t="s">
        <v>3</v>
      </c>
      <c r="AO45" s="73" t="s">
        <v>3</v>
      </c>
      <c r="AP45" s="73" t="s">
        <v>3</v>
      </c>
      <c r="BQ45" s="145" t="s">
        <v>1872</v>
      </c>
      <c r="BS45" s="70"/>
      <c r="CM45" s="112"/>
    </row>
    <row r="46" spans="1:91" x14ac:dyDescent="0.25">
      <c r="A46" s="73" t="s">
        <v>1874</v>
      </c>
      <c r="B46" s="73">
        <v>3</v>
      </c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 t="s">
        <v>3</v>
      </c>
      <c r="BM46" s="73"/>
      <c r="BN46" s="73"/>
      <c r="BO46" s="73"/>
      <c r="BP46" s="2" t="s">
        <v>1873</v>
      </c>
      <c r="BQ46" s="68" t="s">
        <v>1833</v>
      </c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</row>
    <row r="47" spans="1:91" x14ac:dyDescent="0.25">
      <c r="A47" s="73" t="s">
        <v>1874</v>
      </c>
      <c r="B47" s="73">
        <v>4</v>
      </c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68" t="s">
        <v>1875</v>
      </c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</row>
    <row r="48" spans="1:91" x14ac:dyDescent="0.25">
      <c r="A48" s="73" t="s">
        <v>1874</v>
      </c>
      <c r="B48" s="73">
        <v>5</v>
      </c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 t="s">
        <v>1876</v>
      </c>
      <c r="BR48" s="73" t="s">
        <v>1877</v>
      </c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</row>
    <row r="49" spans="1:90" x14ac:dyDescent="0.25">
      <c r="A49" s="73" t="s">
        <v>1878</v>
      </c>
      <c r="B49" s="73">
        <v>1</v>
      </c>
      <c r="C49" s="73"/>
      <c r="D49" s="73"/>
      <c r="E49" s="73"/>
      <c r="F49" s="73" t="s">
        <v>3</v>
      </c>
      <c r="G49" s="73" t="s">
        <v>3</v>
      </c>
      <c r="H49" s="73" t="s">
        <v>3</v>
      </c>
      <c r="I49" s="73" t="s">
        <v>3</v>
      </c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 t="s">
        <v>3</v>
      </c>
      <c r="AP49" s="73" t="s">
        <v>3</v>
      </c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 t="s">
        <v>3</v>
      </c>
      <c r="BM49" s="73"/>
      <c r="BN49" s="73"/>
      <c r="BO49" s="73"/>
      <c r="BP49" s="2" t="s">
        <v>1873</v>
      </c>
      <c r="BQ49" s="68" t="s">
        <v>1833</v>
      </c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</row>
    <row r="50" spans="1:90" x14ac:dyDescent="0.25">
      <c r="A50" s="73" t="s">
        <v>1879</v>
      </c>
      <c r="B50" s="73">
        <v>1</v>
      </c>
      <c r="C50" s="73"/>
      <c r="D50" s="73"/>
      <c r="E50" s="73"/>
      <c r="F50" s="73" t="s">
        <v>3</v>
      </c>
      <c r="G50" s="73" t="s">
        <v>3</v>
      </c>
      <c r="H50" s="73" t="s">
        <v>3</v>
      </c>
      <c r="I50" s="73" t="s">
        <v>3</v>
      </c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 t="s">
        <v>3</v>
      </c>
      <c r="AP50" s="73" t="s">
        <v>3</v>
      </c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 t="s">
        <v>3</v>
      </c>
      <c r="BM50" s="73"/>
      <c r="BN50" s="73"/>
      <c r="BO50" s="73"/>
      <c r="BP50" s="2" t="s">
        <v>1873</v>
      </c>
      <c r="BQ50" s="68" t="s">
        <v>1833</v>
      </c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</row>
    <row r="51" spans="1:90" x14ac:dyDescent="0.25">
      <c r="A51" s="73" t="s">
        <v>1880</v>
      </c>
      <c r="B51" s="73">
        <v>1</v>
      </c>
      <c r="C51" s="73"/>
      <c r="D51" s="73"/>
      <c r="E51" s="73"/>
      <c r="F51" s="73" t="s">
        <v>3</v>
      </c>
      <c r="G51" s="73" t="s">
        <v>3</v>
      </c>
      <c r="H51" s="73" t="s">
        <v>3</v>
      </c>
      <c r="I51" s="73" t="s">
        <v>3</v>
      </c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 t="s">
        <v>3</v>
      </c>
      <c r="AP51" s="73" t="s">
        <v>3</v>
      </c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 t="s">
        <v>3</v>
      </c>
      <c r="BM51" s="73"/>
      <c r="BN51" s="73"/>
      <c r="BO51" s="73"/>
      <c r="BP51" s="2" t="s">
        <v>1873</v>
      </c>
      <c r="BQ51" s="68" t="s">
        <v>1833</v>
      </c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</row>
    <row r="52" spans="1:90" x14ac:dyDescent="0.25">
      <c r="A52" s="73" t="s">
        <v>1881</v>
      </c>
      <c r="B52" s="73">
        <v>1</v>
      </c>
      <c r="C52" s="73"/>
      <c r="D52" s="73"/>
      <c r="E52" s="73"/>
      <c r="F52" s="73" t="s">
        <v>3</v>
      </c>
      <c r="G52" s="73" t="s">
        <v>3</v>
      </c>
      <c r="H52" s="73" t="s">
        <v>3</v>
      </c>
      <c r="I52" s="73" t="s">
        <v>3</v>
      </c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 t="s">
        <v>3</v>
      </c>
      <c r="AP52" s="73" t="s">
        <v>3</v>
      </c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 t="s">
        <v>3</v>
      </c>
      <c r="BM52" s="73"/>
      <c r="BN52" s="73"/>
      <c r="BO52" s="73"/>
      <c r="BP52" s="2" t="s">
        <v>1873</v>
      </c>
      <c r="BQ52" s="68" t="s">
        <v>1833</v>
      </c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</row>
    <row r="53" spans="1:90" x14ac:dyDescent="0.25">
      <c r="A53" s="73" t="s">
        <v>1882</v>
      </c>
      <c r="B53" s="73">
        <v>1</v>
      </c>
      <c r="C53" s="73"/>
      <c r="D53" s="73"/>
      <c r="E53" s="73"/>
      <c r="F53" s="73" t="s">
        <v>3</v>
      </c>
      <c r="G53" s="73" t="s">
        <v>3</v>
      </c>
      <c r="H53" s="73" t="s">
        <v>3</v>
      </c>
      <c r="I53" s="73" t="s">
        <v>3</v>
      </c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 t="s">
        <v>3</v>
      </c>
      <c r="AP53" s="73" t="s">
        <v>3</v>
      </c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 t="s">
        <v>3</v>
      </c>
      <c r="BM53" s="73"/>
      <c r="BN53" s="73"/>
      <c r="BO53" s="73"/>
      <c r="BP53" s="2" t="s">
        <v>1873</v>
      </c>
      <c r="BQ53" s="68" t="s">
        <v>1833</v>
      </c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</row>
    <row r="54" spans="1:90" x14ac:dyDescent="0.25">
      <c r="A54" s="73" t="s">
        <v>1883</v>
      </c>
      <c r="B54" s="73">
        <v>1</v>
      </c>
      <c r="C54" s="73"/>
      <c r="D54" s="73"/>
      <c r="E54" s="73"/>
      <c r="F54" s="73" t="s">
        <v>3</v>
      </c>
      <c r="G54" s="73" t="s">
        <v>3</v>
      </c>
      <c r="H54" s="73" t="s">
        <v>3</v>
      </c>
      <c r="I54" s="73" t="s">
        <v>3</v>
      </c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 t="s">
        <v>3</v>
      </c>
      <c r="AP54" s="73" t="s">
        <v>3</v>
      </c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 t="s">
        <v>3</v>
      </c>
      <c r="BM54" s="73"/>
      <c r="BN54" s="73"/>
      <c r="BO54" s="73"/>
      <c r="BP54" s="2" t="s">
        <v>1873</v>
      </c>
      <c r="BQ54" s="68" t="s">
        <v>1833</v>
      </c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</row>
    <row r="55" spans="1:90" x14ac:dyDescent="0.25">
      <c r="A55" s="73" t="s">
        <v>1884</v>
      </c>
      <c r="B55" s="73">
        <v>1</v>
      </c>
      <c r="C55" s="73"/>
      <c r="D55" s="73"/>
      <c r="E55" s="73"/>
      <c r="F55" s="73" t="s">
        <v>3</v>
      </c>
      <c r="G55" s="73" t="s">
        <v>3</v>
      </c>
      <c r="H55" s="73" t="s">
        <v>3</v>
      </c>
      <c r="I55" s="73" t="s">
        <v>3</v>
      </c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 t="s">
        <v>3</v>
      </c>
      <c r="AP55" s="73" t="s">
        <v>3</v>
      </c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 t="s">
        <v>3</v>
      </c>
      <c r="BM55" s="73"/>
      <c r="BN55" s="73"/>
      <c r="BO55" s="73"/>
      <c r="BP55" s="2" t="s">
        <v>1873</v>
      </c>
      <c r="BQ55" s="68" t="s">
        <v>1833</v>
      </c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</row>
    <row r="56" spans="1:90" x14ac:dyDescent="0.25">
      <c r="A56" s="73" t="s">
        <v>1885</v>
      </c>
      <c r="B56" s="73">
        <v>1</v>
      </c>
      <c r="C56" s="73"/>
      <c r="D56" s="73"/>
      <c r="E56" s="73"/>
      <c r="F56" s="73" t="s">
        <v>3</v>
      </c>
      <c r="G56" s="73" t="s">
        <v>3</v>
      </c>
      <c r="H56" s="73" t="s">
        <v>3</v>
      </c>
      <c r="I56" s="73" t="s">
        <v>3</v>
      </c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 t="s">
        <v>3</v>
      </c>
      <c r="AP56" s="73" t="s">
        <v>3</v>
      </c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 t="s">
        <v>3</v>
      </c>
      <c r="BM56" s="73"/>
      <c r="BN56" s="73"/>
      <c r="BO56" s="73"/>
      <c r="BP56" s="2" t="s">
        <v>1873</v>
      </c>
      <c r="BQ56" s="68" t="s">
        <v>1833</v>
      </c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</row>
    <row r="57" spans="1:90" x14ac:dyDescent="0.25">
      <c r="A57" s="73" t="s">
        <v>1886</v>
      </c>
      <c r="B57" s="73">
        <v>1</v>
      </c>
      <c r="C57" s="73"/>
      <c r="D57" s="73"/>
      <c r="E57" s="73"/>
      <c r="F57" s="73" t="s">
        <v>3</v>
      </c>
      <c r="G57" s="73" t="s">
        <v>3</v>
      </c>
      <c r="H57" s="73" t="s">
        <v>3</v>
      </c>
      <c r="I57" s="73" t="s">
        <v>3</v>
      </c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 t="s">
        <v>3</v>
      </c>
      <c r="AP57" s="73" t="s">
        <v>3</v>
      </c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 t="s">
        <v>3</v>
      </c>
      <c r="BM57" s="73"/>
      <c r="BN57" s="73"/>
      <c r="BO57" s="73"/>
      <c r="BP57" s="2" t="s">
        <v>1873</v>
      </c>
      <c r="BQ57" s="68" t="s">
        <v>1833</v>
      </c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</row>
    <row r="58" spans="1:90" x14ac:dyDescent="0.25">
      <c r="A58" s="73" t="s">
        <v>1887</v>
      </c>
      <c r="B58" s="73">
        <v>1</v>
      </c>
      <c r="C58" s="73"/>
      <c r="D58" s="73"/>
      <c r="E58" s="73"/>
      <c r="F58" s="73" t="s">
        <v>3</v>
      </c>
      <c r="G58" s="73" t="s">
        <v>3</v>
      </c>
      <c r="H58" s="73" t="s">
        <v>3</v>
      </c>
      <c r="I58" s="73" t="s">
        <v>3</v>
      </c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 t="s">
        <v>3</v>
      </c>
      <c r="AP58" s="73" t="s">
        <v>3</v>
      </c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 t="s">
        <v>3</v>
      </c>
      <c r="BM58" s="73"/>
      <c r="BN58" s="73"/>
      <c r="BO58" s="73"/>
      <c r="BP58" s="2" t="s">
        <v>1873</v>
      </c>
      <c r="BQ58" s="68" t="s">
        <v>1833</v>
      </c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</row>
    <row r="59" spans="1:90" x14ac:dyDescent="0.25">
      <c r="A59" s="73" t="s">
        <v>1888</v>
      </c>
      <c r="B59" s="73">
        <v>1</v>
      </c>
      <c r="C59" s="73"/>
      <c r="D59" s="73"/>
      <c r="E59" s="73"/>
      <c r="F59" s="73" t="s">
        <v>3</v>
      </c>
      <c r="G59" s="73" t="s">
        <v>3</v>
      </c>
      <c r="H59" s="73" t="s">
        <v>3</v>
      </c>
      <c r="I59" s="73" t="s">
        <v>3</v>
      </c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 t="s">
        <v>3</v>
      </c>
      <c r="AP59" s="73" t="s">
        <v>3</v>
      </c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 t="s">
        <v>3</v>
      </c>
      <c r="BM59" s="73"/>
      <c r="BN59" s="73"/>
      <c r="BO59" s="73"/>
      <c r="BP59" s="2" t="s">
        <v>1873</v>
      </c>
      <c r="BQ59" s="68" t="s">
        <v>1833</v>
      </c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</row>
    <row r="60" spans="1:90" x14ac:dyDescent="0.25">
      <c r="A60" s="73" t="s">
        <v>1888</v>
      </c>
      <c r="B60" s="73">
        <v>2</v>
      </c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14"/>
      <c r="BQ60" s="68" t="s">
        <v>1875</v>
      </c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</row>
    <row r="61" spans="1:90" x14ac:dyDescent="0.25">
      <c r="A61" s="73" t="s">
        <v>1888</v>
      </c>
      <c r="B61" s="73">
        <v>3</v>
      </c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14"/>
      <c r="BQ61" s="73" t="s">
        <v>1876</v>
      </c>
      <c r="BR61" s="73" t="s">
        <v>1877</v>
      </c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</row>
    <row r="62" spans="1:90" x14ac:dyDescent="0.25">
      <c r="A62" s="73" t="s">
        <v>1888</v>
      </c>
      <c r="B62" s="73">
        <v>4</v>
      </c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 t="s">
        <v>3</v>
      </c>
      <c r="AP62" s="73"/>
      <c r="AQ62" s="73"/>
      <c r="AR62" s="73" t="s">
        <v>3</v>
      </c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 t="s">
        <v>3</v>
      </c>
      <c r="BM62" s="73"/>
      <c r="BN62" s="73"/>
      <c r="BO62" s="73"/>
      <c r="BP62" s="73"/>
      <c r="BQ62" s="68" t="s">
        <v>1889</v>
      </c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</row>
    <row r="63" spans="1:90" x14ac:dyDescent="0.25">
      <c r="A63" s="73" t="s">
        <v>1890</v>
      </c>
      <c r="B63" s="73">
        <v>1</v>
      </c>
      <c r="C63" s="73"/>
      <c r="D63" s="73"/>
      <c r="E63" s="73"/>
      <c r="F63" s="73" t="s">
        <v>3</v>
      </c>
      <c r="G63" s="73" t="s">
        <v>3</v>
      </c>
      <c r="H63" s="73" t="s">
        <v>3</v>
      </c>
      <c r="I63" s="73" t="s">
        <v>3</v>
      </c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 t="s">
        <v>3</v>
      </c>
      <c r="AP63" s="73"/>
      <c r="AQ63" s="73" t="s">
        <v>3</v>
      </c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14" t="s">
        <v>1845</v>
      </c>
      <c r="BQ63" s="68" t="s">
        <v>1891</v>
      </c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</row>
    <row r="64" spans="1:90" x14ac:dyDescent="0.25">
      <c r="A64" s="73" t="s">
        <v>1890</v>
      </c>
      <c r="B64" s="73">
        <v>2</v>
      </c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68" t="s">
        <v>1875</v>
      </c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</row>
    <row r="65" spans="1:91" x14ac:dyDescent="0.25">
      <c r="A65" s="73" t="s">
        <v>1890</v>
      </c>
      <c r="B65" s="73">
        <v>3</v>
      </c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 t="s">
        <v>1876</v>
      </c>
      <c r="BR65" s="73" t="s">
        <v>1877</v>
      </c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</row>
    <row r="66" spans="1:91" x14ac:dyDescent="0.25">
      <c r="A66" s="73" t="s">
        <v>1892</v>
      </c>
      <c r="B66" s="73">
        <v>1</v>
      </c>
      <c r="C66" s="73"/>
      <c r="D66" s="73"/>
      <c r="E66" s="73"/>
      <c r="F66" s="73" t="s">
        <v>3</v>
      </c>
      <c r="G66" s="73" t="s">
        <v>3</v>
      </c>
      <c r="H66" s="73" t="s">
        <v>3</v>
      </c>
      <c r="I66" s="73" t="s">
        <v>3</v>
      </c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 t="s">
        <v>3</v>
      </c>
      <c r="AV66" s="73" t="s">
        <v>3</v>
      </c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 t="s">
        <v>1893</v>
      </c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</row>
    <row r="67" spans="1:91" x14ac:dyDescent="0.25">
      <c r="A67" s="73" t="s">
        <v>1892</v>
      </c>
      <c r="B67" s="73">
        <v>2</v>
      </c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 t="s">
        <v>3</v>
      </c>
      <c r="BM67" s="73"/>
      <c r="BN67" s="73"/>
      <c r="BO67" s="73"/>
      <c r="BP67" s="2" t="s">
        <v>1894</v>
      </c>
      <c r="BQ67" s="68"/>
      <c r="BR67" s="73" t="s">
        <v>1851</v>
      </c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</row>
    <row r="68" spans="1:91" x14ac:dyDescent="0.25">
      <c r="A68" s="73" t="s">
        <v>1892</v>
      </c>
      <c r="B68" s="73">
        <v>3</v>
      </c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 t="s">
        <v>1852</v>
      </c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</row>
    <row r="69" spans="1:91" x14ac:dyDescent="0.25">
      <c r="A69" s="73" t="s">
        <v>1892</v>
      </c>
      <c r="B69" s="73">
        <v>4</v>
      </c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 t="s">
        <v>1853</v>
      </c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</row>
    <row r="70" spans="1:91" x14ac:dyDescent="0.25">
      <c r="A70" s="73" t="s">
        <v>1892</v>
      </c>
      <c r="B70" s="73">
        <v>5</v>
      </c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146"/>
      <c r="BR70" s="73" t="s">
        <v>1854</v>
      </c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</row>
    <row r="71" spans="1:91" x14ac:dyDescent="0.25">
      <c r="A71" s="73" t="s">
        <v>1892</v>
      </c>
      <c r="B71" s="73">
        <v>6</v>
      </c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68" t="s">
        <v>1875</v>
      </c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</row>
    <row r="72" spans="1:91" x14ac:dyDescent="0.25">
      <c r="A72" s="73" t="s">
        <v>1892</v>
      </c>
      <c r="B72" s="73">
        <v>7</v>
      </c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 t="s">
        <v>1876</v>
      </c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</row>
    <row r="73" spans="1:91" x14ac:dyDescent="0.25">
      <c r="A73" s="73" t="s">
        <v>1895</v>
      </c>
      <c r="B73" s="73">
        <v>1</v>
      </c>
      <c r="C73" s="73"/>
      <c r="D73" s="73"/>
      <c r="E73" s="73"/>
      <c r="F73" s="73" t="s">
        <v>3</v>
      </c>
      <c r="G73" s="73" t="s">
        <v>3</v>
      </c>
      <c r="H73" s="73" t="s">
        <v>3</v>
      </c>
      <c r="I73" s="73"/>
      <c r="J73" s="73"/>
      <c r="K73" s="73"/>
      <c r="L73" s="73"/>
      <c r="M73" s="73"/>
      <c r="N73" s="132" t="s">
        <v>1241</v>
      </c>
      <c r="O73" s="132" t="s">
        <v>1896</v>
      </c>
      <c r="P73" s="73"/>
      <c r="Q73" s="73"/>
      <c r="R73" s="73"/>
      <c r="S73" s="73"/>
      <c r="T73" s="73"/>
      <c r="U73" s="73"/>
      <c r="V73" s="73"/>
      <c r="W73" s="73"/>
      <c r="X73" s="73"/>
      <c r="Y73" s="73" t="s">
        <v>3</v>
      </c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 t="s">
        <v>3</v>
      </c>
      <c r="AP73" s="73"/>
      <c r="AQ73" s="73"/>
      <c r="AR73" s="73"/>
      <c r="AS73" s="73"/>
      <c r="AT73" s="73" t="s">
        <v>3</v>
      </c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 t="s">
        <v>3</v>
      </c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</row>
    <row r="74" spans="1:91" x14ac:dyDescent="0.25">
      <c r="A74" s="73" t="s">
        <v>1895</v>
      </c>
      <c r="B74" s="73">
        <v>2</v>
      </c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 t="s">
        <v>1897</v>
      </c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73"/>
      <c r="CH74" s="73"/>
      <c r="CI74" s="73"/>
      <c r="CJ74" s="73"/>
      <c r="CK74" s="73"/>
      <c r="CL74" s="73"/>
    </row>
    <row r="75" spans="1:91" x14ac:dyDescent="0.25">
      <c r="A75" s="125" t="s">
        <v>1898</v>
      </c>
      <c r="B75" s="125">
        <v>1</v>
      </c>
      <c r="C75" s="125"/>
      <c r="D75" s="125"/>
      <c r="E75" s="125"/>
      <c r="F75" s="125" t="s">
        <v>3</v>
      </c>
      <c r="G75" s="125" t="s">
        <v>3</v>
      </c>
      <c r="H75" s="125" t="s">
        <v>3</v>
      </c>
      <c r="I75" s="125"/>
      <c r="J75" s="125"/>
      <c r="K75" s="125"/>
      <c r="L75" s="125"/>
      <c r="M75" s="125"/>
      <c r="N75" s="125"/>
      <c r="O75" s="125" t="s">
        <v>1896</v>
      </c>
      <c r="P75" s="125"/>
      <c r="Q75" s="125"/>
      <c r="R75" s="125"/>
      <c r="S75" s="125"/>
      <c r="T75" s="125"/>
      <c r="U75" s="125"/>
      <c r="V75" s="125"/>
      <c r="W75" s="125"/>
      <c r="X75" s="125"/>
      <c r="Y75" s="125" t="s">
        <v>3</v>
      </c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25"/>
      <c r="BB75" s="125"/>
      <c r="BC75" s="125"/>
      <c r="BD75" s="125"/>
      <c r="BE75" s="125"/>
      <c r="BF75" s="125"/>
      <c r="BG75" s="125"/>
      <c r="BH75" s="125"/>
      <c r="BI75" s="125"/>
      <c r="BJ75" s="125"/>
      <c r="BK75" s="125"/>
      <c r="BL75" s="125"/>
      <c r="BM75" s="125"/>
      <c r="BN75" s="125"/>
      <c r="BO75" s="125"/>
      <c r="BP75" s="125"/>
      <c r="BQ75" s="147" t="s">
        <v>1833</v>
      </c>
      <c r="BR75" s="125"/>
      <c r="BS75" s="125"/>
      <c r="BT75" s="125"/>
      <c r="BU75" s="125"/>
      <c r="BV75" s="125"/>
      <c r="BW75" s="125"/>
      <c r="BX75" s="125"/>
      <c r="BY75" s="125"/>
      <c r="BZ75" s="125"/>
      <c r="CA75" s="125"/>
      <c r="CB75" s="125"/>
      <c r="CC75" s="125"/>
      <c r="CD75" s="125"/>
      <c r="CE75" s="125"/>
      <c r="CF75" s="125"/>
      <c r="CG75" s="125"/>
      <c r="CH75" s="125"/>
      <c r="CI75" s="125"/>
      <c r="CJ75" s="125"/>
      <c r="CK75" s="125"/>
      <c r="CL75" s="125"/>
      <c r="CM75" s="125" t="s">
        <v>3</v>
      </c>
    </row>
    <row r="76" spans="1:91" x14ac:dyDescent="0.25">
      <c r="A76" s="125" t="s">
        <v>1899</v>
      </c>
      <c r="B76" s="125">
        <v>1</v>
      </c>
      <c r="C76" s="125"/>
      <c r="D76" s="125"/>
      <c r="E76" s="125"/>
      <c r="F76" s="125" t="s">
        <v>3</v>
      </c>
      <c r="G76" s="125" t="s">
        <v>3</v>
      </c>
      <c r="H76" s="125" t="s">
        <v>3</v>
      </c>
      <c r="I76" s="125"/>
      <c r="J76" s="125"/>
      <c r="K76" s="125"/>
      <c r="L76" s="125"/>
      <c r="M76" s="125"/>
      <c r="N76" s="125"/>
      <c r="O76" s="125" t="s">
        <v>1896</v>
      </c>
      <c r="P76" s="125"/>
      <c r="Q76" s="125"/>
      <c r="R76" s="125"/>
      <c r="S76" s="125"/>
      <c r="T76" s="125"/>
      <c r="U76" s="125"/>
      <c r="V76" s="125"/>
      <c r="W76" s="125"/>
      <c r="X76" s="125"/>
      <c r="Y76" s="125" t="s">
        <v>3</v>
      </c>
      <c r="Z76" s="125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125"/>
      <c r="AT76" s="125"/>
      <c r="AU76" s="125"/>
      <c r="AV76" s="125"/>
      <c r="AW76" s="125"/>
      <c r="AX76" s="125"/>
      <c r="AY76" s="125"/>
      <c r="AZ76" s="125"/>
      <c r="BA76" s="125"/>
      <c r="BB76" s="125"/>
      <c r="BC76" s="125"/>
      <c r="BD76" s="125"/>
      <c r="BE76" s="125"/>
      <c r="BF76" s="125"/>
      <c r="BG76" s="125"/>
      <c r="BH76" s="125"/>
      <c r="BI76" s="125"/>
      <c r="BJ76" s="125"/>
      <c r="BK76" s="125"/>
      <c r="BL76" s="125"/>
      <c r="BM76" s="125"/>
      <c r="BN76" s="125"/>
      <c r="BO76" s="125"/>
      <c r="BP76" s="125"/>
      <c r="BQ76" s="147" t="s">
        <v>1833</v>
      </c>
      <c r="BR76" s="125"/>
      <c r="BS76" s="125"/>
      <c r="BT76" s="125"/>
      <c r="BU76" s="125"/>
      <c r="BV76" s="125"/>
      <c r="BW76" s="125"/>
      <c r="BX76" s="125"/>
      <c r="BY76" s="125"/>
      <c r="BZ76" s="125"/>
      <c r="CA76" s="125"/>
      <c r="CB76" s="125"/>
      <c r="CC76" s="125"/>
      <c r="CD76" s="125"/>
      <c r="CE76" s="125"/>
      <c r="CF76" s="125"/>
      <c r="CG76" s="125"/>
      <c r="CH76" s="125"/>
      <c r="CI76" s="125"/>
      <c r="CJ76" s="125"/>
      <c r="CK76" s="125"/>
      <c r="CL76" s="125"/>
      <c r="CM76" s="125" t="s">
        <v>3</v>
      </c>
    </row>
    <row r="77" spans="1:91" x14ac:dyDescent="0.25">
      <c r="A77" s="125" t="s">
        <v>1900</v>
      </c>
      <c r="B77" s="125">
        <v>1</v>
      </c>
      <c r="C77" s="125"/>
      <c r="D77" s="125"/>
      <c r="E77" s="125"/>
      <c r="F77" s="125" t="s">
        <v>3</v>
      </c>
      <c r="G77" s="125" t="s">
        <v>3</v>
      </c>
      <c r="H77" s="125" t="s">
        <v>3</v>
      </c>
      <c r="I77" s="125"/>
      <c r="J77" s="125"/>
      <c r="K77" s="125"/>
      <c r="L77" s="125"/>
      <c r="M77" s="125"/>
      <c r="N77" s="125"/>
      <c r="O77" s="125" t="s">
        <v>1896</v>
      </c>
      <c r="P77" s="125"/>
      <c r="Q77" s="125"/>
      <c r="R77" s="125"/>
      <c r="S77" s="125"/>
      <c r="T77" s="125"/>
      <c r="U77" s="125"/>
      <c r="V77" s="125"/>
      <c r="W77" s="125"/>
      <c r="X77" s="125"/>
      <c r="Y77" s="125" t="s">
        <v>3</v>
      </c>
      <c r="Z77" s="125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  <c r="AU77" s="125"/>
      <c r="AV77" s="125"/>
      <c r="AW77" s="125"/>
      <c r="AX77" s="125"/>
      <c r="AY77" s="125"/>
      <c r="AZ77" s="125"/>
      <c r="BA77" s="125"/>
      <c r="BB77" s="125"/>
      <c r="BC77" s="125"/>
      <c r="BD77" s="125"/>
      <c r="BE77" s="125"/>
      <c r="BF77" s="125"/>
      <c r="BG77" s="125"/>
      <c r="BH77" s="125"/>
      <c r="BI77" s="125"/>
      <c r="BJ77" s="125"/>
      <c r="BK77" s="125"/>
      <c r="BL77" s="125"/>
      <c r="BM77" s="125"/>
      <c r="BN77" s="125"/>
      <c r="BO77" s="125"/>
      <c r="BP77" s="125"/>
      <c r="BQ77" s="147" t="s">
        <v>1833</v>
      </c>
      <c r="BR77" s="125"/>
      <c r="BS77" s="125"/>
      <c r="BT77" s="125"/>
      <c r="BU77" s="125"/>
      <c r="BV77" s="125"/>
      <c r="BW77" s="125"/>
      <c r="BX77" s="125"/>
      <c r="BY77" s="125"/>
      <c r="BZ77" s="125"/>
      <c r="CA77" s="125"/>
      <c r="CB77" s="125"/>
      <c r="CC77" s="125"/>
      <c r="CD77" s="125"/>
      <c r="CE77" s="125"/>
      <c r="CF77" s="125"/>
      <c r="CG77" s="125"/>
      <c r="CH77" s="125"/>
      <c r="CI77" s="125"/>
      <c r="CJ77" s="125"/>
      <c r="CK77" s="125"/>
      <c r="CL77" s="125"/>
      <c r="CM77" s="125" t="s">
        <v>3</v>
      </c>
    </row>
    <row r="78" spans="1:91" x14ac:dyDescent="0.25">
      <c r="A78" s="125" t="s">
        <v>1901</v>
      </c>
      <c r="B78" s="125">
        <v>1</v>
      </c>
      <c r="C78" s="125"/>
      <c r="D78" s="125"/>
      <c r="E78" s="125"/>
      <c r="F78" s="125" t="s">
        <v>3</v>
      </c>
      <c r="G78" s="125" t="s">
        <v>3</v>
      </c>
      <c r="H78" s="125" t="s">
        <v>3</v>
      </c>
      <c r="I78" s="125"/>
      <c r="J78" s="125"/>
      <c r="K78" s="125"/>
      <c r="L78" s="125"/>
      <c r="M78" s="125"/>
      <c r="N78" s="125"/>
      <c r="O78" s="125" t="s">
        <v>1896</v>
      </c>
      <c r="P78" s="125"/>
      <c r="Q78" s="125"/>
      <c r="R78" s="125"/>
      <c r="S78" s="125"/>
      <c r="T78" s="125"/>
      <c r="U78" s="125"/>
      <c r="V78" s="125"/>
      <c r="W78" s="125"/>
      <c r="X78" s="125"/>
      <c r="Y78" s="125" t="s">
        <v>3</v>
      </c>
      <c r="Z78" s="125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25"/>
      <c r="AO78" s="125"/>
      <c r="AP78" s="125"/>
      <c r="AQ78" s="125"/>
      <c r="AR78" s="125"/>
      <c r="AS78" s="125"/>
      <c r="AT78" s="125"/>
      <c r="AU78" s="125"/>
      <c r="AV78" s="125"/>
      <c r="AW78" s="125"/>
      <c r="AX78" s="125"/>
      <c r="AY78" s="125"/>
      <c r="AZ78" s="125"/>
      <c r="BA78" s="125"/>
      <c r="BB78" s="125"/>
      <c r="BC78" s="125"/>
      <c r="BD78" s="125"/>
      <c r="BE78" s="125"/>
      <c r="BF78" s="125"/>
      <c r="BG78" s="125"/>
      <c r="BH78" s="125"/>
      <c r="BI78" s="125"/>
      <c r="BJ78" s="125"/>
      <c r="BK78" s="125"/>
      <c r="BL78" s="125"/>
      <c r="BM78" s="125"/>
      <c r="BN78" s="125"/>
      <c r="BO78" s="125"/>
      <c r="BP78" s="125"/>
      <c r="BQ78" s="147" t="s">
        <v>1833</v>
      </c>
      <c r="BR78" s="125"/>
      <c r="BS78" s="125"/>
      <c r="BT78" s="125"/>
      <c r="BU78" s="125"/>
      <c r="BV78" s="125"/>
      <c r="BW78" s="125"/>
      <c r="BX78" s="125"/>
      <c r="BY78" s="125"/>
      <c r="BZ78" s="125"/>
      <c r="CA78" s="125"/>
      <c r="CB78" s="125"/>
      <c r="CC78" s="125"/>
      <c r="CD78" s="125"/>
      <c r="CE78" s="125"/>
      <c r="CF78" s="125"/>
      <c r="CG78" s="125"/>
      <c r="CH78" s="125"/>
      <c r="CI78" s="125"/>
      <c r="CJ78" s="125"/>
      <c r="CK78" s="125"/>
      <c r="CL78" s="125"/>
      <c r="CM78" s="125" t="s">
        <v>3</v>
      </c>
    </row>
    <row r="79" spans="1:91" x14ac:dyDescent="0.25">
      <c r="A79" s="148" t="s">
        <v>1902</v>
      </c>
      <c r="B79" s="148">
        <v>1</v>
      </c>
      <c r="C79" s="148"/>
      <c r="D79" s="148"/>
      <c r="E79" s="148"/>
      <c r="F79" s="148" t="s">
        <v>3</v>
      </c>
      <c r="G79" s="148" t="s">
        <v>3</v>
      </c>
      <c r="H79" s="148" t="s">
        <v>3</v>
      </c>
      <c r="I79" s="148"/>
      <c r="W79" s="148" t="s">
        <v>1903</v>
      </c>
      <c r="Y79" s="148"/>
      <c r="AO79" s="148"/>
      <c r="AP79" s="148"/>
      <c r="AQ79" s="148"/>
      <c r="AR79" s="148"/>
      <c r="AS79" s="148"/>
      <c r="AT79" s="148"/>
      <c r="AU79" s="148"/>
      <c r="AV79" s="148"/>
      <c r="AW79" s="12"/>
      <c r="AX79" s="12"/>
      <c r="AY79" s="12"/>
      <c r="AZ79" s="12"/>
      <c r="BA79" s="12"/>
      <c r="BB79" s="12"/>
      <c r="BC79" s="12"/>
      <c r="BD79" s="12"/>
      <c r="BL79" s="148"/>
      <c r="BM79" s="148"/>
      <c r="BN79" s="148"/>
      <c r="BO79" s="148"/>
      <c r="BQ79" s="148"/>
      <c r="BS79" s="149"/>
      <c r="CF79" s="150" t="s">
        <v>1904</v>
      </c>
      <c r="CG79" s="150" t="s">
        <v>1905</v>
      </c>
    </row>
    <row r="80" spans="1:91" x14ac:dyDescent="0.25">
      <c r="A80" s="148" t="s">
        <v>1902</v>
      </c>
      <c r="B80" s="148">
        <v>2</v>
      </c>
      <c r="C80" s="148"/>
      <c r="D80" s="148"/>
      <c r="E80" s="148"/>
      <c r="F80" s="148"/>
      <c r="G80" s="148"/>
      <c r="H80" s="148"/>
      <c r="I80" s="148"/>
      <c r="W80" s="148"/>
      <c r="Y80" s="148" t="s">
        <v>3</v>
      </c>
      <c r="AO80" s="148" t="s">
        <v>3</v>
      </c>
      <c r="AP80" s="148"/>
      <c r="AQ80" s="148"/>
      <c r="AR80" s="148"/>
      <c r="AS80" s="148"/>
      <c r="AT80" s="148" t="s">
        <v>3</v>
      </c>
      <c r="AU80" s="148"/>
      <c r="AV80" s="148"/>
      <c r="AW80" s="12"/>
      <c r="AX80" s="12"/>
      <c r="AY80" s="12"/>
      <c r="AZ80" s="12"/>
      <c r="BA80" s="12"/>
      <c r="BB80" s="12"/>
      <c r="BC80" s="12"/>
      <c r="BD80" s="12"/>
      <c r="BL80" s="148" t="s">
        <v>3</v>
      </c>
      <c r="BM80" s="148"/>
      <c r="BN80" s="148"/>
      <c r="BO80" s="148"/>
      <c r="BQ80" s="151" t="s">
        <v>1906</v>
      </c>
      <c r="BS80" s="149"/>
      <c r="CF80" s="150"/>
      <c r="CG80" s="150"/>
    </row>
    <row r="81" spans="1:85" x14ac:dyDescent="0.25">
      <c r="A81" s="148" t="s">
        <v>1907</v>
      </c>
      <c r="B81" s="148">
        <v>1</v>
      </c>
      <c r="C81" s="148"/>
      <c r="D81" s="148"/>
      <c r="E81" s="148"/>
      <c r="F81" s="148" t="s">
        <v>3</v>
      </c>
      <c r="G81" s="148" t="s">
        <v>3</v>
      </c>
      <c r="H81" s="148" t="s">
        <v>3</v>
      </c>
      <c r="I81" s="148"/>
      <c r="W81" s="148" t="s">
        <v>1903</v>
      </c>
      <c r="Y81" s="148"/>
      <c r="AO81" s="148"/>
      <c r="AP81" s="148"/>
      <c r="AQ81" s="148"/>
      <c r="AR81" s="148"/>
      <c r="AS81" s="148"/>
      <c r="AT81" s="148"/>
      <c r="AU81" s="148"/>
      <c r="AV81" s="148"/>
      <c r="AW81" s="12"/>
      <c r="AX81" s="12"/>
      <c r="AY81" s="12"/>
      <c r="AZ81" s="12"/>
      <c r="BA81" s="12"/>
      <c r="BB81" s="12"/>
      <c r="BC81" s="12"/>
      <c r="BD81" s="12"/>
      <c r="BL81" s="148"/>
      <c r="BM81" s="148"/>
      <c r="BN81" s="148"/>
      <c r="BO81" s="148"/>
      <c r="BQ81" s="148"/>
      <c r="BS81" s="149"/>
      <c r="CF81" s="152" t="s">
        <v>1908</v>
      </c>
      <c r="CG81" s="152" t="s">
        <v>1909</v>
      </c>
    </row>
    <row r="82" spans="1:85" x14ac:dyDescent="0.25">
      <c r="A82" s="148" t="s">
        <v>1907</v>
      </c>
      <c r="B82" s="148">
        <v>2</v>
      </c>
      <c r="C82" s="148"/>
      <c r="D82" s="148"/>
      <c r="E82" s="148"/>
      <c r="F82" s="148"/>
      <c r="G82" s="148"/>
      <c r="H82" s="148"/>
      <c r="I82" s="148"/>
      <c r="W82" s="148"/>
      <c r="Y82" s="148" t="s">
        <v>3</v>
      </c>
      <c r="AO82" s="148" t="s">
        <v>3</v>
      </c>
      <c r="AP82" s="148"/>
      <c r="AQ82" s="148"/>
      <c r="AR82" s="148"/>
      <c r="AS82" s="148"/>
      <c r="AT82" s="148" t="s">
        <v>3</v>
      </c>
      <c r="AU82" s="148"/>
      <c r="AV82" s="148"/>
      <c r="AW82" s="12"/>
      <c r="AX82" s="12"/>
      <c r="AY82" s="12"/>
      <c r="AZ82" s="12"/>
      <c r="BA82" s="12"/>
      <c r="BB82" s="12"/>
      <c r="BC82" s="12"/>
      <c r="BD82" s="12"/>
      <c r="BL82" s="148" t="s">
        <v>3</v>
      </c>
      <c r="BM82" s="148"/>
      <c r="BN82" s="148"/>
      <c r="BO82" s="148"/>
      <c r="BQ82" s="151" t="s">
        <v>1910</v>
      </c>
      <c r="BS82" s="149"/>
    </row>
    <row r="83" spans="1:85" x14ac:dyDescent="0.25">
      <c r="A83" s="148" t="s">
        <v>1911</v>
      </c>
      <c r="B83" s="148">
        <v>1</v>
      </c>
      <c r="C83" s="148"/>
      <c r="D83" s="148"/>
      <c r="E83" s="148"/>
      <c r="F83" s="148" t="s">
        <v>3</v>
      </c>
      <c r="G83" s="148" t="s">
        <v>3</v>
      </c>
      <c r="H83" s="148" t="s">
        <v>3</v>
      </c>
      <c r="I83" s="148"/>
      <c r="W83" s="148" t="s">
        <v>1903</v>
      </c>
      <c r="Y83" s="148" t="s">
        <v>3</v>
      </c>
      <c r="AO83" s="148" t="s">
        <v>3</v>
      </c>
      <c r="AP83" s="148"/>
      <c r="AQ83" s="148"/>
      <c r="AR83" s="148" t="s">
        <v>3</v>
      </c>
      <c r="AS83" s="148"/>
      <c r="AT83" s="148"/>
      <c r="AU83" s="148"/>
      <c r="AV83" s="148"/>
      <c r="AW83" s="12"/>
      <c r="AX83" s="12"/>
      <c r="AY83" s="12"/>
      <c r="AZ83" s="12"/>
      <c r="BA83" s="12"/>
      <c r="BB83" s="12"/>
      <c r="BC83" s="12"/>
      <c r="BD83" s="12"/>
      <c r="BL83" s="148" t="s">
        <v>3</v>
      </c>
      <c r="BM83" s="148"/>
      <c r="BN83" s="148"/>
      <c r="BO83" s="148"/>
      <c r="BQ83" s="153" t="s">
        <v>1912</v>
      </c>
      <c r="BS83" s="148"/>
    </row>
    <row r="84" spans="1:85" x14ac:dyDescent="0.25">
      <c r="A84" s="153" t="s">
        <v>1911</v>
      </c>
      <c r="B84" s="153">
        <v>2</v>
      </c>
      <c r="C84" s="153"/>
      <c r="D84" s="153"/>
      <c r="E84" s="153"/>
      <c r="F84" s="153"/>
      <c r="G84" s="153"/>
      <c r="H84" s="153"/>
      <c r="I84" s="153"/>
      <c r="W84" s="148"/>
      <c r="Y84" s="153"/>
      <c r="AO84" s="153" t="s">
        <v>3</v>
      </c>
      <c r="AP84" s="153"/>
      <c r="AQ84" s="153"/>
      <c r="AR84" s="153"/>
      <c r="AS84" s="153" t="s">
        <v>3</v>
      </c>
      <c r="AT84" s="153"/>
      <c r="AU84" s="153"/>
      <c r="AV84" s="153"/>
      <c r="AW84" s="12"/>
      <c r="AX84" s="12"/>
      <c r="AY84" s="12"/>
      <c r="AZ84" s="12"/>
      <c r="BA84" s="12"/>
      <c r="BB84" s="12"/>
      <c r="BC84" s="12"/>
      <c r="BD84" s="12"/>
      <c r="BL84" s="153" t="s">
        <v>3</v>
      </c>
      <c r="BM84" s="153"/>
      <c r="BN84" s="153"/>
      <c r="BO84" s="153"/>
      <c r="BQ84" s="153" t="s">
        <v>1844</v>
      </c>
      <c r="BS84" s="153"/>
    </row>
    <row r="85" spans="1:85" x14ac:dyDescent="0.25">
      <c r="A85" s="153" t="s">
        <v>1911</v>
      </c>
      <c r="B85" s="153">
        <v>3</v>
      </c>
      <c r="C85" s="153"/>
      <c r="D85" s="153"/>
      <c r="E85" s="153"/>
      <c r="F85" s="153"/>
      <c r="G85" s="153"/>
      <c r="H85" s="153"/>
      <c r="I85" s="153"/>
      <c r="W85" s="148"/>
      <c r="Y85" s="153"/>
      <c r="AO85" s="153" t="s">
        <v>3</v>
      </c>
      <c r="AP85" s="153"/>
      <c r="AQ85" s="153" t="s">
        <v>3</v>
      </c>
      <c r="AR85" s="153"/>
      <c r="AS85" s="153"/>
      <c r="AT85" s="153"/>
      <c r="AU85" s="153"/>
      <c r="AV85" s="153"/>
      <c r="AW85" s="12"/>
      <c r="AX85" s="12"/>
      <c r="AY85" s="12"/>
      <c r="AZ85" s="12"/>
      <c r="BA85" s="12"/>
      <c r="BB85" s="12"/>
      <c r="BC85" s="12"/>
      <c r="BD85" s="12"/>
      <c r="BL85" s="153"/>
      <c r="BM85" s="153"/>
      <c r="BN85" s="153"/>
      <c r="BO85" s="153"/>
      <c r="BQ85" s="151" t="s">
        <v>1891</v>
      </c>
      <c r="BS85" s="153"/>
    </row>
    <row r="86" spans="1:85" x14ac:dyDescent="0.25">
      <c r="A86" s="153" t="s">
        <v>1911</v>
      </c>
      <c r="B86" s="153">
        <v>4</v>
      </c>
      <c r="C86" s="153"/>
      <c r="D86" s="153"/>
      <c r="E86" s="153"/>
      <c r="F86" s="153"/>
      <c r="G86" s="153"/>
      <c r="H86" s="153"/>
      <c r="I86" s="153"/>
      <c r="W86" s="148"/>
      <c r="Y86" s="153"/>
      <c r="AO86" s="153" t="s">
        <v>3</v>
      </c>
      <c r="AP86" s="153"/>
      <c r="AQ86" s="153"/>
      <c r="AR86" s="153"/>
      <c r="AS86" s="153"/>
      <c r="AT86" s="153" t="s">
        <v>3</v>
      </c>
      <c r="AU86" s="153"/>
      <c r="AV86" s="153"/>
      <c r="AW86" s="12"/>
      <c r="AX86" s="12"/>
      <c r="AY86" s="12"/>
      <c r="AZ86" s="12"/>
      <c r="BA86" s="12"/>
      <c r="BB86" s="12"/>
      <c r="BC86" s="12"/>
      <c r="BD86" s="12"/>
      <c r="BL86" s="153"/>
      <c r="BM86" s="153"/>
      <c r="BN86" s="153"/>
      <c r="BO86" s="153"/>
      <c r="BQ86" s="151" t="s">
        <v>1913</v>
      </c>
      <c r="BS86" s="149"/>
    </row>
    <row r="87" spans="1:85" x14ac:dyDescent="0.25">
      <c r="A87" s="148" t="s">
        <v>1911</v>
      </c>
      <c r="B87" s="148">
        <v>5</v>
      </c>
      <c r="C87" s="148"/>
      <c r="D87" s="148"/>
      <c r="E87" s="148"/>
      <c r="F87" s="148"/>
      <c r="G87" s="148"/>
      <c r="H87" s="148"/>
      <c r="I87" s="148"/>
      <c r="W87" s="148"/>
      <c r="Y87" s="148"/>
      <c r="AO87" s="148"/>
      <c r="AP87" s="148"/>
      <c r="AQ87" s="148"/>
      <c r="AR87" s="148"/>
      <c r="AS87" s="148"/>
      <c r="AT87" s="148"/>
      <c r="AU87" s="148"/>
      <c r="AV87" s="148"/>
      <c r="AW87" s="56"/>
      <c r="AX87" s="56"/>
      <c r="AY87" s="56"/>
      <c r="AZ87" s="56"/>
      <c r="BA87" s="56"/>
      <c r="BB87" s="56"/>
      <c r="BC87" s="56"/>
      <c r="BD87" s="56"/>
      <c r="BL87" s="148"/>
      <c r="BM87" s="148"/>
      <c r="BN87" s="148"/>
      <c r="BO87" s="148"/>
      <c r="BQ87" s="148" t="s">
        <v>1850</v>
      </c>
      <c r="BS87" s="149"/>
    </row>
    <row r="88" spans="1:85" x14ac:dyDescent="0.25">
      <c r="A88" s="153" t="s">
        <v>1914</v>
      </c>
      <c r="B88" s="153">
        <v>1</v>
      </c>
      <c r="C88" s="153"/>
      <c r="D88" s="153"/>
      <c r="E88" s="153"/>
      <c r="F88" s="153" t="s">
        <v>3</v>
      </c>
      <c r="G88" s="153" t="s">
        <v>3</v>
      </c>
      <c r="H88" s="153" t="s">
        <v>3</v>
      </c>
      <c r="I88" s="153"/>
      <c r="W88" s="153" t="s">
        <v>1903</v>
      </c>
      <c r="Y88" s="153" t="s">
        <v>3</v>
      </c>
      <c r="AO88" s="153"/>
      <c r="AP88" s="153"/>
      <c r="AQ88" s="153"/>
      <c r="AR88" s="153"/>
      <c r="AS88" s="153"/>
      <c r="AT88" s="153"/>
      <c r="AU88" s="153" t="s">
        <v>3</v>
      </c>
      <c r="AV88" s="153"/>
      <c r="AW88" s="153" t="s">
        <v>3</v>
      </c>
      <c r="AX88" s="153"/>
      <c r="AY88" s="153" t="s">
        <v>1491</v>
      </c>
      <c r="AZ88" s="153"/>
      <c r="BA88" s="153" t="s">
        <v>3</v>
      </c>
      <c r="BB88" s="153" t="s">
        <v>1132</v>
      </c>
      <c r="BC88" s="154" t="s">
        <v>1321</v>
      </c>
      <c r="BD88" s="154" t="s">
        <v>3</v>
      </c>
      <c r="BL88" s="153"/>
      <c r="BM88" s="153"/>
      <c r="BN88" s="153"/>
      <c r="BO88" s="153"/>
      <c r="BQ88" s="153" t="s">
        <v>1915</v>
      </c>
      <c r="BS88" s="153"/>
    </row>
    <row r="89" spans="1:85" x14ac:dyDescent="0.25">
      <c r="A89" s="153" t="s">
        <v>1914</v>
      </c>
      <c r="B89" s="153">
        <v>2</v>
      </c>
      <c r="C89" s="153"/>
      <c r="D89" s="153"/>
      <c r="E89" s="153"/>
      <c r="F89" s="153"/>
      <c r="G89" s="153"/>
      <c r="H89" s="153"/>
      <c r="I89" s="153"/>
      <c r="W89" s="153"/>
      <c r="Y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L89" s="153"/>
      <c r="BM89" s="153"/>
      <c r="BN89" s="153"/>
      <c r="BO89" s="153"/>
      <c r="BQ89" s="151" t="s">
        <v>1916</v>
      </c>
      <c r="BS89" s="153"/>
    </row>
    <row r="90" spans="1:85" x14ac:dyDescent="0.25">
      <c r="A90" s="153" t="s">
        <v>1914</v>
      </c>
      <c r="B90" s="153">
        <v>3</v>
      </c>
      <c r="C90" s="153"/>
      <c r="D90" s="153"/>
      <c r="E90" s="153"/>
      <c r="F90" s="153"/>
      <c r="G90" s="153"/>
      <c r="H90" s="153"/>
      <c r="I90" s="153"/>
      <c r="W90" s="153"/>
      <c r="Y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L90" s="153"/>
      <c r="BM90" s="153"/>
      <c r="BN90" s="153"/>
      <c r="BO90" s="153"/>
      <c r="BQ90" s="153" t="s">
        <v>1876</v>
      </c>
      <c r="BS90" s="153"/>
    </row>
    <row r="91" spans="1:85" x14ac:dyDescent="0.25">
      <c r="A91" s="153" t="s">
        <v>1917</v>
      </c>
      <c r="B91" s="153">
        <v>1</v>
      </c>
      <c r="C91" s="153"/>
      <c r="D91" s="153"/>
      <c r="E91" s="153"/>
      <c r="F91" s="153" t="s">
        <v>3</v>
      </c>
      <c r="G91" s="153" t="s">
        <v>3</v>
      </c>
      <c r="H91" s="153" t="s">
        <v>3</v>
      </c>
      <c r="I91" s="153"/>
      <c r="W91" s="153"/>
      <c r="Y91" s="153" t="s">
        <v>3</v>
      </c>
      <c r="AO91" s="153" t="s">
        <v>3</v>
      </c>
      <c r="AP91" s="153"/>
      <c r="AQ91" s="153"/>
      <c r="AR91" s="153"/>
      <c r="AS91" s="153"/>
      <c r="AT91" s="153" t="s">
        <v>3</v>
      </c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L91" s="153"/>
      <c r="BM91" s="153"/>
      <c r="BN91" s="153"/>
      <c r="BO91" s="153"/>
      <c r="BQ91" s="153"/>
      <c r="BS91" s="153"/>
    </row>
    <row r="92" spans="1:85" x14ac:dyDescent="0.25">
      <c r="A92" s="153" t="s">
        <v>1918</v>
      </c>
      <c r="B92" s="153">
        <v>1</v>
      </c>
      <c r="C92" s="153"/>
      <c r="D92" s="153"/>
      <c r="E92" s="153"/>
      <c r="F92" s="153" t="s">
        <v>3</v>
      </c>
      <c r="G92" s="153" t="s">
        <v>3</v>
      </c>
      <c r="H92" s="153" t="s">
        <v>3</v>
      </c>
      <c r="I92" s="153"/>
      <c r="W92" s="153"/>
      <c r="Y92" s="153" t="s">
        <v>3</v>
      </c>
      <c r="AO92" s="153" t="s">
        <v>3</v>
      </c>
      <c r="AP92" s="153"/>
      <c r="AQ92" s="153"/>
      <c r="AR92" s="153"/>
      <c r="AS92" s="153"/>
      <c r="AT92" s="153" t="s">
        <v>3</v>
      </c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L92" s="153"/>
      <c r="BM92" s="153"/>
      <c r="BN92" s="153"/>
      <c r="BO92" s="153"/>
      <c r="BQ92" s="153"/>
      <c r="BS92" s="153"/>
    </row>
    <row r="93" spans="1:85" x14ac:dyDescent="0.25">
      <c r="A93" s="153" t="s">
        <v>1919</v>
      </c>
      <c r="B93" s="153">
        <v>1</v>
      </c>
      <c r="C93" s="153"/>
      <c r="D93" s="153"/>
      <c r="E93" s="153"/>
      <c r="F93" s="153" t="s">
        <v>3</v>
      </c>
      <c r="G93" s="153" t="s">
        <v>3</v>
      </c>
      <c r="H93" s="153" t="s">
        <v>3</v>
      </c>
      <c r="I93" s="153"/>
      <c r="W93" s="153"/>
      <c r="Y93" s="153" t="s">
        <v>3</v>
      </c>
      <c r="AO93" s="153" t="s">
        <v>3</v>
      </c>
      <c r="AP93" s="153"/>
      <c r="AQ93" s="153"/>
      <c r="AR93" s="153"/>
      <c r="AS93" s="153"/>
      <c r="AT93" s="153" t="s">
        <v>3</v>
      </c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L93" s="153"/>
      <c r="BM93" s="153"/>
      <c r="BN93" s="153"/>
      <c r="BO93" s="153"/>
      <c r="BQ93" s="153"/>
      <c r="BS93" s="153"/>
    </row>
    <row r="94" spans="1:85" x14ac:dyDescent="0.25">
      <c r="A94" s="153" t="s">
        <v>1920</v>
      </c>
      <c r="B94" s="153">
        <v>1</v>
      </c>
      <c r="C94" s="153"/>
      <c r="D94" s="153"/>
      <c r="E94" s="153"/>
      <c r="F94" s="153" t="s">
        <v>3</v>
      </c>
      <c r="G94" s="153" t="s">
        <v>3</v>
      </c>
      <c r="H94" s="153" t="s">
        <v>3</v>
      </c>
      <c r="I94" s="153"/>
      <c r="W94" s="153"/>
      <c r="Y94" s="153" t="s">
        <v>3</v>
      </c>
      <c r="AO94" s="153" t="s">
        <v>3</v>
      </c>
      <c r="AP94" s="153"/>
      <c r="AQ94" s="153"/>
      <c r="AR94" s="153"/>
      <c r="AS94" s="153"/>
      <c r="AT94" s="153" t="s">
        <v>3</v>
      </c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L94" s="153"/>
      <c r="BM94" s="153"/>
      <c r="BN94" s="153"/>
      <c r="BO94" s="153"/>
      <c r="BQ94" s="153"/>
      <c r="BS94" s="153"/>
    </row>
    <row r="95" spans="1:85" x14ac:dyDescent="0.25">
      <c r="A95" s="153" t="s">
        <v>1920</v>
      </c>
      <c r="B95" s="153">
        <v>2</v>
      </c>
      <c r="C95" s="153"/>
      <c r="D95" s="153"/>
      <c r="E95" s="153"/>
      <c r="F95" s="153" t="s">
        <v>3</v>
      </c>
      <c r="G95" s="153" t="s">
        <v>3</v>
      </c>
      <c r="H95" s="153" t="s">
        <v>3</v>
      </c>
      <c r="I95" s="153"/>
      <c r="W95" s="153"/>
      <c r="Y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L95" s="153"/>
      <c r="BM95" s="153"/>
      <c r="BN95" s="153"/>
      <c r="BO95" s="153"/>
      <c r="BQ95" s="153"/>
      <c r="BS95" s="153" t="s">
        <v>1835</v>
      </c>
    </row>
    <row r="96" spans="1:85" x14ac:dyDescent="0.25">
      <c r="A96" s="153" t="s">
        <v>1921</v>
      </c>
      <c r="B96" s="153">
        <v>1</v>
      </c>
      <c r="C96" s="153"/>
      <c r="D96" s="153"/>
      <c r="E96" s="153"/>
      <c r="F96" s="153" t="s">
        <v>3</v>
      </c>
      <c r="G96" s="153" t="s">
        <v>3</v>
      </c>
      <c r="H96" s="153" t="s">
        <v>3</v>
      </c>
      <c r="I96" s="153"/>
      <c r="W96" s="153"/>
      <c r="Y96" s="153" t="s">
        <v>3</v>
      </c>
      <c r="AO96" s="153" t="s">
        <v>3</v>
      </c>
      <c r="AP96" s="153"/>
      <c r="AQ96" s="153"/>
      <c r="AR96" s="153"/>
      <c r="AS96" s="153"/>
      <c r="AT96" s="153" t="s">
        <v>3</v>
      </c>
      <c r="AU96" s="153"/>
      <c r="AV96" s="153"/>
      <c r="AW96" s="153"/>
      <c r="AX96" s="153"/>
      <c r="AY96" s="153"/>
      <c r="AZ96" s="153"/>
      <c r="BA96" s="153"/>
      <c r="BB96" s="153"/>
      <c r="BC96" s="153"/>
      <c r="BD96" s="153"/>
      <c r="BL96" s="153"/>
      <c r="BM96" s="153"/>
      <c r="BN96" s="153"/>
      <c r="BO96" s="153"/>
      <c r="BQ96" s="153"/>
      <c r="BS96" s="153"/>
    </row>
    <row r="97" spans="1:71" x14ac:dyDescent="0.25">
      <c r="A97" s="153" t="s">
        <v>1922</v>
      </c>
      <c r="B97" s="153">
        <v>1</v>
      </c>
      <c r="C97" s="153"/>
      <c r="D97" s="153"/>
      <c r="E97" s="153"/>
      <c r="F97" s="153" t="s">
        <v>3</v>
      </c>
      <c r="G97" s="153" t="s">
        <v>3</v>
      </c>
      <c r="H97" s="153" t="s">
        <v>3</v>
      </c>
      <c r="I97" s="153"/>
      <c r="W97" s="153"/>
      <c r="Y97" s="153" t="s">
        <v>3</v>
      </c>
      <c r="AO97" s="153" t="s">
        <v>3</v>
      </c>
      <c r="AP97" s="153"/>
      <c r="AQ97" s="153"/>
      <c r="AR97" s="153"/>
      <c r="AS97" s="153"/>
      <c r="AT97" s="153" t="s">
        <v>3</v>
      </c>
      <c r="AU97" s="153"/>
      <c r="AV97" s="153"/>
      <c r="AW97" s="153"/>
      <c r="AX97" s="153"/>
      <c r="AY97" s="153"/>
      <c r="AZ97" s="153"/>
      <c r="BA97" s="153"/>
      <c r="BB97" s="153"/>
      <c r="BC97" s="153"/>
      <c r="BD97" s="153"/>
      <c r="BL97" s="153"/>
      <c r="BM97" s="153"/>
      <c r="BN97" s="153"/>
      <c r="BO97" s="153"/>
      <c r="BQ97" s="153"/>
      <c r="BS97" s="153"/>
    </row>
    <row r="98" spans="1:71" x14ac:dyDescent="0.25">
      <c r="A98" s="153" t="s">
        <v>1923</v>
      </c>
      <c r="B98" s="153">
        <v>1</v>
      </c>
      <c r="C98" s="153"/>
      <c r="D98" s="153"/>
      <c r="E98" s="153"/>
      <c r="F98" s="153" t="s">
        <v>3</v>
      </c>
      <c r="G98" s="153" t="s">
        <v>3</v>
      </c>
      <c r="H98" s="153" t="s">
        <v>3</v>
      </c>
      <c r="I98" s="153"/>
      <c r="W98" s="153"/>
      <c r="Y98" s="153" t="s">
        <v>3</v>
      </c>
      <c r="AO98" s="153" t="s">
        <v>3</v>
      </c>
      <c r="AP98" s="153"/>
      <c r="AQ98" s="153"/>
      <c r="AR98" s="153"/>
      <c r="AS98" s="153"/>
      <c r="AT98" s="153" t="s">
        <v>3</v>
      </c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L98" s="153"/>
      <c r="BM98" s="153"/>
      <c r="BN98" s="153"/>
      <c r="BO98" s="153"/>
      <c r="BQ98" s="153"/>
      <c r="BS98" s="153"/>
    </row>
    <row r="99" spans="1:71" x14ac:dyDescent="0.25">
      <c r="A99" s="153" t="s">
        <v>1924</v>
      </c>
      <c r="B99" s="153">
        <v>1</v>
      </c>
      <c r="C99" s="153"/>
      <c r="D99" s="153"/>
      <c r="E99" s="153"/>
      <c r="F99" s="153" t="s">
        <v>3</v>
      </c>
      <c r="G99" s="153" t="s">
        <v>3</v>
      </c>
      <c r="H99" s="153" t="s">
        <v>3</v>
      </c>
      <c r="I99" s="153"/>
      <c r="W99" s="153"/>
      <c r="Y99" s="153" t="s">
        <v>3</v>
      </c>
      <c r="AO99" s="153" t="s">
        <v>3</v>
      </c>
      <c r="AP99" s="153"/>
      <c r="AQ99" s="153"/>
      <c r="AR99" s="153"/>
      <c r="AS99" s="153"/>
      <c r="AT99" s="153" t="s">
        <v>3</v>
      </c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L99" s="153"/>
      <c r="BM99" s="153"/>
      <c r="BN99" s="153"/>
      <c r="BO99" s="153"/>
      <c r="BQ99" s="153"/>
      <c r="BS99" s="153"/>
    </row>
    <row r="100" spans="1:71" x14ac:dyDescent="0.25">
      <c r="A100" s="153" t="s">
        <v>1925</v>
      </c>
      <c r="B100" s="153">
        <v>1</v>
      </c>
      <c r="C100" s="153"/>
      <c r="D100" s="153"/>
      <c r="E100" s="153"/>
      <c r="F100" s="153" t="s">
        <v>3</v>
      </c>
      <c r="G100" s="153" t="s">
        <v>3</v>
      </c>
      <c r="H100" s="153" t="s">
        <v>3</v>
      </c>
      <c r="I100" s="153"/>
      <c r="W100" s="153"/>
      <c r="Y100" s="153" t="s">
        <v>3</v>
      </c>
      <c r="AO100" s="153" t="s">
        <v>3</v>
      </c>
      <c r="AP100" s="153"/>
      <c r="AQ100" s="153"/>
      <c r="AR100" s="153"/>
      <c r="AS100" s="153"/>
      <c r="AT100" s="153" t="s">
        <v>3</v>
      </c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L100" s="153"/>
      <c r="BM100" s="153"/>
      <c r="BN100" s="153"/>
      <c r="BO100" s="153"/>
      <c r="BQ100" s="153"/>
      <c r="BS100" s="153"/>
    </row>
    <row r="101" spans="1:71" x14ac:dyDescent="0.25">
      <c r="A101" s="153" t="s">
        <v>1926</v>
      </c>
      <c r="B101" s="153">
        <v>1</v>
      </c>
      <c r="C101" s="153"/>
      <c r="D101" s="153"/>
      <c r="E101" s="153"/>
      <c r="F101" s="153" t="s">
        <v>3</v>
      </c>
      <c r="G101" s="153" t="s">
        <v>3</v>
      </c>
      <c r="H101" s="153" t="s">
        <v>3</v>
      </c>
      <c r="I101" s="153"/>
      <c r="W101" s="153"/>
      <c r="Y101" s="153" t="s">
        <v>3</v>
      </c>
      <c r="AO101" s="153" t="s">
        <v>3</v>
      </c>
      <c r="AP101" s="153"/>
      <c r="AQ101" s="153"/>
      <c r="AR101" s="153"/>
      <c r="AS101" s="153"/>
      <c r="AT101" s="153" t="s">
        <v>3</v>
      </c>
      <c r="AU101" s="153"/>
      <c r="AV101" s="153"/>
      <c r="AW101" s="153"/>
      <c r="AX101" s="153"/>
      <c r="AY101" s="153"/>
      <c r="AZ101" s="153"/>
      <c r="BA101" s="153"/>
      <c r="BB101" s="153"/>
      <c r="BC101" s="153"/>
      <c r="BD101" s="153"/>
      <c r="BL101" s="153"/>
      <c r="BM101" s="153"/>
      <c r="BN101" s="153"/>
      <c r="BO101" s="153"/>
      <c r="BQ101" s="153"/>
      <c r="BS101" s="153"/>
    </row>
    <row r="102" spans="1:71" x14ac:dyDescent="0.25">
      <c r="A102" s="153" t="s">
        <v>1927</v>
      </c>
      <c r="B102" s="153">
        <v>1</v>
      </c>
      <c r="C102" s="153"/>
      <c r="D102" s="153"/>
      <c r="E102" s="153"/>
      <c r="F102" s="153" t="s">
        <v>3</v>
      </c>
      <c r="G102" s="153" t="s">
        <v>3</v>
      </c>
      <c r="H102" s="153" t="s">
        <v>3</v>
      </c>
      <c r="I102" s="153"/>
      <c r="W102" s="153"/>
      <c r="Y102" s="153" t="s">
        <v>3</v>
      </c>
      <c r="AO102" s="153" t="s">
        <v>3</v>
      </c>
      <c r="AP102" s="153"/>
      <c r="AQ102" s="153"/>
      <c r="AR102" s="153"/>
      <c r="AS102" s="153"/>
      <c r="AT102" s="153" t="s">
        <v>3</v>
      </c>
      <c r="AU102" s="153"/>
      <c r="AV102" s="153"/>
      <c r="AW102" s="153"/>
      <c r="AX102" s="153"/>
      <c r="AY102" s="153"/>
      <c r="AZ102" s="153"/>
      <c r="BA102" s="153"/>
      <c r="BB102" s="153"/>
      <c r="BC102" s="153"/>
      <c r="BD102" s="153"/>
      <c r="BL102" s="153"/>
      <c r="BM102" s="153"/>
      <c r="BN102" s="153"/>
      <c r="BO102" s="153"/>
      <c r="BQ102" s="153"/>
      <c r="BS102" s="153"/>
    </row>
    <row r="103" spans="1:71" x14ac:dyDescent="0.25">
      <c r="A103" s="153" t="s">
        <v>1928</v>
      </c>
      <c r="B103" s="153">
        <v>1</v>
      </c>
      <c r="C103" s="153"/>
      <c r="D103" s="153"/>
      <c r="E103" s="153"/>
      <c r="F103" s="153" t="s">
        <v>3</v>
      </c>
      <c r="G103" s="153" t="s">
        <v>3</v>
      </c>
      <c r="H103" s="153" t="s">
        <v>3</v>
      </c>
      <c r="I103" s="153"/>
      <c r="W103" s="153"/>
      <c r="Y103" s="153"/>
      <c r="AO103" s="153" t="s">
        <v>3</v>
      </c>
      <c r="AP103" s="153"/>
      <c r="AQ103" s="153"/>
      <c r="AR103" s="153"/>
      <c r="AS103" s="153"/>
      <c r="AT103" s="153" t="s">
        <v>3</v>
      </c>
      <c r="AU103" s="153"/>
      <c r="AV103" s="153"/>
      <c r="AW103" s="153"/>
      <c r="AX103" s="153"/>
      <c r="AY103" s="153"/>
      <c r="AZ103" s="153"/>
      <c r="BA103" s="153"/>
      <c r="BB103" s="153"/>
      <c r="BC103" s="153"/>
      <c r="BD103" s="153"/>
      <c r="BL103" s="153" t="s">
        <v>3</v>
      </c>
      <c r="BM103" s="153"/>
      <c r="BN103" s="153"/>
      <c r="BO103" s="153"/>
      <c r="BQ103" s="153"/>
      <c r="BR103" s="153" t="s">
        <v>1851</v>
      </c>
    </row>
    <row r="104" spans="1:71" x14ac:dyDescent="0.25">
      <c r="A104" s="153" t="s">
        <v>1928</v>
      </c>
      <c r="B104" s="153">
        <v>2</v>
      </c>
      <c r="C104" s="153"/>
      <c r="D104" s="153"/>
      <c r="E104" s="153"/>
      <c r="F104" s="153"/>
      <c r="G104" s="153"/>
      <c r="H104" s="153"/>
      <c r="I104" s="153"/>
      <c r="W104" s="153"/>
      <c r="Y104" s="153"/>
      <c r="AO104" s="153"/>
      <c r="AP104" s="153"/>
      <c r="AQ104" s="153"/>
      <c r="AR104" s="153"/>
      <c r="AS104" s="153"/>
      <c r="AT104" s="153"/>
      <c r="AU104" s="153"/>
      <c r="AV104" s="153"/>
      <c r="AW104" s="153"/>
      <c r="AX104" s="153"/>
      <c r="AY104" s="153"/>
      <c r="AZ104" s="153"/>
      <c r="BA104" s="153"/>
      <c r="BB104" s="153"/>
      <c r="BC104" s="153"/>
      <c r="BD104" s="153"/>
      <c r="BL104" s="153"/>
      <c r="BM104" s="153"/>
      <c r="BN104" s="153"/>
      <c r="BO104" s="153"/>
      <c r="BQ104" s="153"/>
      <c r="BR104" s="153" t="s">
        <v>1852</v>
      </c>
    </row>
    <row r="105" spans="1:71" x14ac:dyDescent="0.25">
      <c r="A105" s="153" t="s">
        <v>1928</v>
      </c>
      <c r="B105" s="153">
        <v>3</v>
      </c>
      <c r="C105" s="153"/>
      <c r="D105" s="153"/>
      <c r="E105" s="153"/>
      <c r="F105" s="153"/>
      <c r="G105" s="153"/>
      <c r="H105" s="153"/>
      <c r="I105" s="153"/>
      <c r="W105" s="153"/>
      <c r="Y105" s="153"/>
      <c r="AO105" s="153"/>
      <c r="AP105" s="153"/>
      <c r="AQ105" s="153"/>
      <c r="AR105" s="153"/>
      <c r="AS105" s="153"/>
      <c r="AT105" s="153"/>
      <c r="AU105" s="153"/>
      <c r="AV105" s="153"/>
      <c r="AW105" s="153"/>
      <c r="AX105" s="153"/>
      <c r="AY105" s="153"/>
      <c r="AZ105" s="153"/>
      <c r="BA105" s="153"/>
      <c r="BB105" s="153"/>
      <c r="BC105" s="153"/>
      <c r="BD105" s="153"/>
      <c r="BL105" s="153"/>
      <c r="BM105" s="153"/>
      <c r="BN105" s="153"/>
      <c r="BO105" s="153"/>
      <c r="BQ105" s="153"/>
      <c r="BR105" s="153" t="s">
        <v>1853</v>
      </c>
    </row>
    <row r="106" spans="1:71" x14ac:dyDescent="0.25">
      <c r="A106" s="153" t="s">
        <v>1928</v>
      </c>
      <c r="B106" s="153">
        <v>4</v>
      </c>
      <c r="C106" s="153"/>
      <c r="D106" s="153"/>
      <c r="E106" s="153"/>
      <c r="F106" s="153"/>
      <c r="G106" s="153"/>
      <c r="H106" s="153"/>
      <c r="I106" s="153"/>
      <c r="W106" s="153"/>
      <c r="Y106" s="153"/>
      <c r="AO106" s="153"/>
      <c r="AP106" s="153"/>
      <c r="AQ106" s="153"/>
      <c r="AR106" s="153"/>
      <c r="AS106" s="153"/>
      <c r="AT106" s="153"/>
      <c r="AU106" s="153"/>
      <c r="AV106" s="153"/>
      <c r="AW106" s="153"/>
      <c r="AX106" s="153"/>
      <c r="AY106" s="153"/>
      <c r="AZ106" s="153"/>
      <c r="BA106" s="153"/>
      <c r="BB106" s="153"/>
      <c r="BC106" s="153"/>
      <c r="BD106" s="153"/>
      <c r="BL106" s="153"/>
      <c r="BM106" s="153"/>
      <c r="BN106" s="153"/>
      <c r="BO106" s="153"/>
      <c r="BQ106" s="153"/>
      <c r="BR106" s="153" t="s">
        <v>1854</v>
      </c>
    </row>
    <row r="107" spans="1:71" x14ac:dyDescent="0.25">
      <c r="A107" s="153" t="s">
        <v>1929</v>
      </c>
      <c r="B107" s="153">
        <v>1</v>
      </c>
      <c r="C107" s="153"/>
      <c r="D107" s="153"/>
      <c r="E107" s="153"/>
      <c r="F107" s="153" t="s">
        <v>3</v>
      </c>
      <c r="G107" s="153" t="s">
        <v>3</v>
      </c>
      <c r="H107" s="153" t="s">
        <v>3</v>
      </c>
      <c r="I107" s="153"/>
      <c r="W107" s="153"/>
      <c r="Y107" s="153"/>
      <c r="AO107" s="153"/>
      <c r="AP107" s="153"/>
      <c r="AQ107" s="153"/>
      <c r="AR107" s="153"/>
      <c r="AS107" s="153"/>
      <c r="AT107" s="153"/>
      <c r="AU107" s="153" t="s">
        <v>3</v>
      </c>
      <c r="AV107" s="153"/>
      <c r="AW107" s="153"/>
      <c r="AX107" s="153" t="s">
        <v>3</v>
      </c>
      <c r="AY107" s="153"/>
      <c r="AZ107" s="153"/>
      <c r="BA107" s="153"/>
      <c r="BB107" s="153"/>
      <c r="BC107" s="153"/>
      <c r="BD107" s="153"/>
      <c r="BL107" s="153"/>
      <c r="BM107" s="153"/>
      <c r="BN107" s="153"/>
      <c r="BO107" s="153"/>
      <c r="BQ107" s="155" t="s">
        <v>1930</v>
      </c>
      <c r="BR107" s="153" t="s">
        <v>1854</v>
      </c>
    </row>
    <row r="108" spans="1:71" x14ac:dyDescent="0.25">
      <c r="A108" s="153" t="s">
        <v>1931</v>
      </c>
      <c r="B108" s="153">
        <v>1</v>
      </c>
      <c r="C108" s="153"/>
      <c r="D108" s="153" t="s">
        <v>1932</v>
      </c>
      <c r="E108" s="153" t="s">
        <v>3</v>
      </c>
      <c r="F108" s="153" t="s">
        <v>3</v>
      </c>
      <c r="G108" s="153" t="s">
        <v>3</v>
      </c>
      <c r="H108" s="153" t="s">
        <v>3</v>
      </c>
      <c r="I108" s="153" t="s">
        <v>3</v>
      </c>
      <c r="W108" s="153"/>
      <c r="Y108" s="153"/>
      <c r="AO108" s="153"/>
      <c r="AP108" s="153"/>
      <c r="AQ108" s="153"/>
      <c r="AR108" s="153"/>
      <c r="AS108" s="153"/>
      <c r="AT108" s="153"/>
      <c r="AU108" s="153" t="s">
        <v>3</v>
      </c>
      <c r="AV108" s="153"/>
      <c r="AW108" s="153" t="s">
        <v>3</v>
      </c>
      <c r="AX108" s="153"/>
      <c r="AY108" s="153" t="s">
        <v>1933</v>
      </c>
      <c r="AZ108" s="153" t="s">
        <v>970</v>
      </c>
      <c r="BA108" s="153" t="s">
        <v>3</v>
      </c>
      <c r="BB108" s="153" t="s">
        <v>1132</v>
      </c>
      <c r="BC108" s="154" t="s">
        <v>1848</v>
      </c>
      <c r="BD108" s="153" t="s">
        <v>3</v>
      </c>
      <c r="BL108" s="153"/>
      <c r="BM108" s="153"/>
      <c r="BN108" s="153"/>
      <c r="BO108" s="153"/>
      <c r="BQ108" s="153"/>
      <c r="BR108" s="153"/>
    </row>
    <row r="109" spans="1:71" x14ac:dyDescent="0.25">
      <c r="A109" s="153" t="s">
        <v>1931</v>
      </c>
      <c r="B109" s="153">
        <v>2</v>
      </c>
      <c r="C109" s="153"/>
      <c r="D109" s="153"/>
      <c r="E109" s="153"/>
      <c r="F109" s="153"/>
      <c r="G109" s="153"/>
      <c r="H109" s="153"/>
      <c r="I109" s="153"/>
      <c r="W109" s="153"/>
      <c r="Y109" s="153"/>
      <c r="AO109" s="153"/>
      <c r="AP109" s="153"/>
      <c r="AQ109" s="153"/>
      <c r="AR109" s="153"/>
      <c r="AS109" s="153"/>
      <c r="AT109" s="153"/>
      <c r="AU109" s="153"/>
      <c r="AV109" s="153"/>
      <c r="AW109" s="153"/>
      <c r="AX109" s="153"/>
      <c r="AY109" s="153"/>
      <c r="AZ109" s="153"/>
      <c r="BA109" s="153"/>
      <c r="BB109" s="153"/>
      <c r="BC109" s="153"/>
      <c r="BD109" s="153"/>
      <c r="BL109" s="153"/>
      <c r="BM109" s="153"/>
      <c r="BN109" s="153"/>
      <c r="BO109" s="153"/>
      <c r="BQ109" s="153"/>
      <c r="BR109" s="153" t="s">
        <v>1851</v>
      </c>
    </row>
    <row r="110" spans="1:71" x14ac:dyDescent="0.25">
      <c r="A110" s="153" t="s">
        <v>1931</v>
      </c>
      <c r="B110" s="153">
        <v>3</v>
      </c>
      <c r="C110" s="153"/>
      <c r="D110" s="153"/>
      <c r="E110" s="153"/>
      <c r="F110" s="153"/>
      <c r="G110" s="153"/>
      <c r="H110" s="153"/>
      <c r="I110" s="153"/>
      <c r="W110" s="153"/>
      <c r="Y110" s="153"/>
      <c r="AO110" s="153"/>
      <c r="AP110" s="153"/>
      <c r="AQ110" s="153"/>
      <c r="AR110" s="153"/>
      <c r="AS110" s="153"/>
      <c r="AT110" s="153"/>
      <c r="AU110" s="153"/>
      <c r="AV110" s="153"/>
      <c r="AW110" s="153"/>
      <c r="AX110" s="153"/>
      <c r="AY110" s="153"/>
      <c r="AZ110" s="153"/>
      <c r="BA110" s="153"/>
      <c r="BB110" s="153"/>
      <c r="BC110" s="153"/>
      <c r="BD110" s="153"/>
      <c r="BL110" s="153"/>
      <c r="BM110" s="153"/>
      <c r="BN110" s="153"/>
      <c r="BO110" s="153"/>
      <c r="BQ110" s="153"/>
      <c r="BR110" s="153" t="s">
        <v>1852</v>
      </c>
    </row>
    <row r="111" spans="1:71" x14ac:dyDescent="0.25">
      <c r="A111" s="153" t="s">
        <v>1931</v>
      </c>
      <c r="B111" s="153">
        <v>4</v>
      </c>
      <c r="C111" s="153"/>
      <c r="D111" s="153"/>
      <c r="E111" s="153"/>
      <c r="F111" s="153"/>
      <c r="G111" s="153"/>
      <c r="H111" s="153"/>
      <c r="I111" s="153"/>
      <c r="W111" s="153"/>
      <c r="Y111" s="153"/>
      <c r="AO111" s="153"/>
      <c r="AP111" s="153"/>
      <c r="AQ111" s="153"/>
      <c r="AR111" s="153"/>
      <c r="AS111" s="153"/>
      <c r="AT111" s="153"/>
      <c r="AU111" s="153"/>
      <c r="AV111" s="153"/>
      <c r="AW111" s="153"/>
      <c r="AX111" s="153"/>
      <c r="AY111" s="153"/>
      <c r="AZ111" s="153"/>
      <c r="BA111" s="153"/>
      <c r="BB111" s="153"/>
      <c r="BC111" s="153"/>
      <c r="BD111" s="153"/>
      <c r="BL111" s="153"/>
      <c r="BM111" s="153"/>
      <c r="BN111" s="153"/>
      <c r="BO111" s="153"/>
      <c r="BQ111" s="153"/>
      <c r="BR111" s="153" t="s">
        <v>1853</v>
      </c>
    </row>
    <row r="112" spans="1:71" x14ac:dyDescent="0.25">
      <c r="A112" s="153" t="s">
        <v>1934</v>
      </c>
      <c r="B112" s="153">
        <v>1</v>
      </c>
      <c r="C112" s="153"/>
      <c r="D112" s="153" t="s">
        <v>1932</v>
      </c>
      <c r="E112" s="153" t="s">
        <v>3</v>
      </c>
      <c r="F112" s="153" t="s">
        <v>3</v>
      </c>
      <c r="G112" s="153" t="s">
        <v>3</v>
      </c>
      <c r="H112" s="153" t="s">
        <v>3</v>
      </c>
      <c r="I112" s="153" t="s">
        <v>3</v>
      </c>
      <c r="W112" s="153"/>
      <c r="Y112" s="153"/>
      <c r="AO112" s="153"/>
      <c r="AP112" s="153"/>
      <c r="AQ112" s="153"/>
      <c r="AR112" s="153"/>
      <c r="AS112" s="153"/>
      <c r="AT112" s="153"/>
      <c r="AU112" s="153" t="s">
        <v>3</v>
      </c>
      <c r="AV112" s="153" t="s">
        <v>3</v>
      </c>
      <c r="AW112" s="153"/>
      <c r="AX112" s="153"/>
      <c r="AY112" s="153"/>
      <c r="AZ112" s="153"/>
      <c r="BA112" s="153" t="s">
        <v>3</v>
      </c>
      <c r="BB112" s="153"/>
      <c r="BC112" s="153"/>
      <c r="BD112" s="153" t="s">
        <v>3</v>
      </c>
      <c r="BL112" s="153"/>
      <c r="BM112" s="153"/>
      <c r="BN112" s="153"/>
      <c r="BO112" s="153"/>
      <c r="BQ112" s="153"/>
      <c r="BR112" s="153" t="s">
        <v>1851</v>
      </c>
    </row>
    <row r="113" spans="1:90" x14ac:dyDescent="0.25">
      <c r="A113" s="153" t="s">
        <v>1934</v>
      </c>
      <c r="B113" s="153">
        <v>2</v>
      </c>
      <c r="C113" s="153"/>
      <c r="D113" s="153"/>
      <c r="E113" s="153"/>
      <c r="F113" s="153"/>
      <c r="G113" s="153"/>
      <c r="H113" s="153"/>
      <c r="I113" s="153"/>
      <c r="W113" s="153"/>
      <c r="Y113" s="153"/>
      <c r="AO113" s="153"/>
      <c r="AP113" s="153"/>
      <c r="AQ113" s="153"/>
      <c r="AR113" s="153"/>
      <c r="AS113" s="153"/>
      <c r="AT113" s="153"/>
      <c r="AU113" s="153"/>
      <c r="AV113" s="153"/>
      <c r="AW113" s="153"/>
      <c r="AX113" s="153"/>
      <c r="AY113" s="153"/>
      <c r="AZ113" s="153"/>
      <c r="BA113" s="153"/>
      <c r="BB113" s="153"/>
      <c r="BC113" s="153"/>
      <c r="BD113" s="153"/>
      <c r="BL113" s="153"/>
      <c r="BM113" s="153"/>
      <c r="BN113" s="153"/>
      <c r="BO113" s="153"/>
      <c r="BQ113" s="153"/>
      <c r="BR113" s="153" t="s">
        <v>1852</v>
      </c>
    </row>
    <row r="114" spans="1:90" x14ac:dyDescent="0.25">
      <c r="A114" s="153" t="s">
        <v>1934</v>
      </c>
      <c r="B114" s="153">
        <v>3</v>
      </c>
      <c r="C114" s="153"/>
      <c r="D114" s="153"/>
      <c r="E114" s="153"/>
      <c r="F114" s="153"/>
      <c r="G114" s="153"/>
      <c r="H114" s="153"/>
      <c r="I114" s="153"/>
      <c r="W114" s="153"/>
      <c r="Y114" s="153"/>
      <c r="AO114" s="153"/>
      <c r="AP114" s="153"/>
      <c r="AQ114" s="153"/>
      <c r="AR114" s="153"/>
      <c r="AS114" s="153"/>
      <c r="AT114" s="153"/>
      <c r="AU114" s="153"/>
      <c r="AV114" s="153"/>
      <c r="AW114" s="153"/>
      <c r="AX114" s="153"/>
      <c r="AY114" s="153"/>
      <c r="AZ114" s="153"/>
      <c r="BA114" s="153"/>
      <c r="BB114" s="153"/>
      <c r="BC114" s="153"/>
      <c r="BD114" s="153"/>
      <c r="BL114" s="153"/>
      <c r="BM114" s="153"/>
      <c r="BN114" s="153"/>
      <c r="BO114" s="153"/>
      <c r="BQ114" s="153"/>
      <c r="BR114" s="153" t="s">
        <v>1853</v>
      </c>
    </row>
    <row r="115" spans="1:90" x14ac:dyDescent="0.25">
      <c r="A115" s="153" t="s">
        <v>1934</v>
      </c>
      <c r="B115" s="153">
        <v>4</v>
      </c>
      <c r="C115" s="153"/>
      <c r="D115" s="153"/>
      <c r="E115" s="153"/>
      <c r="F115" s="153"/>
      <c r="G115" s="153"/>
      <c r="H115" s="153"/>
      <c r="I115" s="153"/>
      <c r="W115" s="153"/>
      <c r="Y115" s="153"/>
      <c r="AO115" s="153"/>
      <c r="AP115" s="153"/>
      <c r="AQ115" s="153"/>
      <c r="AR115" s="153"/>
      <c r="AS115" s="153"/>
      <c r="AT115" s="153"/>
      <c r="AU115" s="153"/>
      <c r="AV115" s="153"/>
      <c r="AW115" s="153"/>
      <c r="AX115" s="153"/>
      <c r="AY115" s="153"/>
      <c r="AZ115" s="153"/>
      <c r="BA115" s="153"/>
      <c r="BB115" s="153"/>
      <c r="BC115" s="153"/>
      <c r="BD115" s="153"/>
      <c r="BL115" s="153"/>
      <c r="BM115" s="153"/>
      <c r="BN115" s="153"/>
      <c r="BO115" s="153"/>
      <c r="BQ115" s="153"/>
      <c r="BR115" s="153" t="s">
        <v>1854</v>
      </c>
    </row>
    <row r="116" spans="1:90" x14ac:dyDescent="0.25">
      <c r="A116" s="153" t="s">
        <v>1935</v>
      </c>
      <c r="B116" s="153">
        <v>1</v>
      </c>
      <c r="C116" s="153"/>
      <c r="D116" s="153"/>
      <c r="E116" s="153"/>
      <c r="F116" s="153" t="s">
        <v>3</v>
      </c>
      <c r="G116" s="153" t="s">
        <v>3</v>
      </c>
      <c r="H116" s="153" t="s">
        <v>3</v>
      </c>
      <c r="I116" s="153"/>
      <c r="W116" s="153"/>
      <c r="Y116" s="153"/>
      <c r="AO116" s="153"/>
      <c r="AP116" s="153"/>
      <c r="AQ116" s="153"/>
      <c r="AR116" s="153"/>
      <c r="AS116" s="153"/>
      <c r="AT116" s="153"/>
      <c r="AU116" s="153"/>
      <c r="AV116" s="153"/>
      <c r="AW116" s="153"/>
      <c r="AX116" s="153"/>
      <c r="AY116" s="153"/>
      <c r="AZ116" s="153"/>
      <c r="BA116" s="153"/>
      <c r="BB116" s="153"/>
      <c r="BC116" s="153"/>
      <c r="BD116" s="153"/>
      <c r="BL116" s="151"/>
      <c r="BM116" s="153"/>
      <c r="BN116" s="153"/>
      <c r="BO116" s="153"/>
      <c r="BQ116" s="151" t="s">
        <v>1936</v>
      </c>
      <c r="BR116" s="153"/>
    </row>
    <row r="117" spans="1:90" x14ac:dyDescent="0.25">
      <c r="A117" s="153" t="s">
        <v>1935</v>
      </c>
      <c r="B117" s="153">
        <v>2</v>
      </c>
      <c r="C117" s="153"/>
      <c r="D117" s="153"/>
      <c r="E117" s="153"/>
      <c r="F117" s="153"/>
      <c r="G117" s="153"/>
      <c r="H117" s="153"/>
      <c r="I117" s="153"/>
      <c r="W117" s="153"/>
      <c r="Y117" s="153"/>
      <c r="AO117" s="153" t="s">
        <v>3</v>
      </c>
      <c r="AP117" s="153"/>
      <c r="AQ117" s="153" t="s">
        <v>3</v>
      </c>
      <c r="AR117" s="153"/>
      <c r="AS117" s="153"/>
      <c r="AT117" s="153"/>
      <c r="AU117" s="153"/>
      <c r="AV117" s="153"/>
      <c r="AW117" s="153"/>
      <c r="AX117" s="153"/>
      <c r="AY117" s="153"/>
      <c r="AZ117" s="153"/>
      <c r="BA117" s="153"/>
      <c r="BB117" s="153"/>
      <c r="BC117" s="153"/>
      <c r="BD117" s="153"/>
      <c r="BL117" s="151"/>
      <c r="BM117" s="153"/>
      <c r="BN117" s="153"/>
      <c r="BO117" s="153"/>
      <c r="BQ117" s="151" t="s">
        <v>1937</v>
      </c>
      <c r="BR117" s="153"/>
    </row>
    <row r="118" spans="1:90" x14ac:dyDescent="0.25">
      <c r="A118" s="153" t="s">
        <v>1935</v>
      </c>
      <c r="B118" s="153">
        <v>3</v>
      </c>
      <c r="C118" s="153"/>
      <c r="D118" s="153"/>
      <c r="E118" s="153"/>
      <c r="F118" s="153"/>
      <c r="G118" s="153"/>
      <c r="H118" s="153"/>
      <c r="I118" s="153"/>
      <c r="W118" s="153"/>
      <c r="Y118" s="153"/>
      <c r="AO118" s="153" t="s">
        <v>3</v>
      </c>
      <c r="AP118" s="153"/>
      <c r="AQ118" s="153"/>
      <c r="AR118" s="153"/>
      <c r="AS118" s="153"/>
      <c r="AT118" s="153" t="s">
        <v>3</v>
      </c>
      <c r="AU118" s="153"/>
      <c r="AV118" s="153"/>
      <c r="AW118" s="153"/>
      <c r="AX118" s="153"/>
      <c r="AY118" s="153"/>
      <c r="AZ118" s="153"/>
      <c r="BA118" s="153"/>
      <c r="BB118" s="153"/>
      <c r="BC118" s="153"/>
      <c r="BD118" s="153"/>
      <c r="BL118" s="153"/>
      <c r="BM118" s="153"/>
      <c r="BN118" s="153"/>
      <c r="BO118" s="153"/>
      <c r="BQ118" s="153" t="s">
        <v>1849</v>
      </c>
      <c r="BR118" s="153"/>
      <c r="CL118" s="72" t="s">
        <v>3</v>
      </c>
    </row>
    <row r="119" spans="1:90" x14ac:dyDescent="0.25">
      <c r="A119" s="153" t="s">
        <v>1935</v>
      </c>
      <c r="B119" s="153">
        <v>4</v>
      </c>
      <c r="C119" s="153"/>
      <c r="D119" s="153"/>
      <c r="E119" s="153"/>
      <c r="F119" s="153"/>
      <c r="G119" s="153"/>
      <c r="H119" s="153"/>
      <c r="I119" s="153"/>
      <c r="W119" s="153"/>
      <c r="Y119" s="153"/>
      <c r="AO119" s="153"/>
      <c r="AP119" s="153"/>
      <c r="AQ119" s="153"/>
      <c r="AR119" s="153"/>
      <c r="AS119" s="153"/>
      <c r="AT119" s="153"/>
      <c r="AU119" s="153"/>
      <c r="AV119" s="153"/>
      <c r="AW119" s="153"/>
      <c r="AX119" s="153"/>
      <c r="AY119" s="153"/>
      <c r="AZ119" s="153"/>
      <c r="BA119" s="153"/>
      <c r="BB119" s="153"/>
      <c r="BC119" s="153"/>
      <c r="BD119" s="153"/>
      <c r="BL119" s="151"/>
      <c r="BM119" s="153"/>
      <c r="BN119" s="153"/>
      <c r="BO119" s="153"/>
      <c r="BQ119" s="151" t="s">
        <v>1850</v>
      </c>
      <c r="BR119" s="153"/>
    </row>
    <row r="120" spans="1:90" x14ac:dyDescent="0.25">
      <c r="A120" s="153" t="s">
        <v>1938</v>
      </c>
      <c r="B120" s="153">
        <v>1</v>
      </c>
      <c r="C120" s="153"/>
      <c r="D120" s="153" t="s">
        <v>1932</v>
      </c>
      <c r="E120" s="153"/>
      <c r="F120" s="153" t="s">
        <v>3</v>
      </c>
      <c r="G120" s="153" t="s">
        <v>3</v>
      </c>
      <c r="H120" s="153" t="s">
        <v>3</v>
      </c>
      <c r="I120" s="153" t="s">
        <v>3</v>
      </c>
      <c r="W120" s="153"/>
      <c r="Y120" s="153"/>
      <c r="AO120" s="153" t="s">
        <v>3</v>
      </c>
      <c r="AP120" s="153"/>
      <c r="AQ120" s="153"/>
      <c r="AR120" s="153"/>
      <c r="AS120" s="153"/>
      <c r="AT120" s="153"/>
      <c r="AU120" s="153" t="s">
        <v>3</v>
      </c>
      <c r="AV120" s="153"/>
      <c r="AW120" s="153"/>
      <c r="AX120" s="153"/>
      <c r="AY120" s="153"/>
      <c r="AZ120" s="153"/>
      <c r="BA120" s="153"/>
      <c r="BB120" s="153"/>
      <c r="BC120" s="153"/>
      <c r="BD120" s="153"/>
      <c r="BL120" s="153"/>
      <c r="BM120" s="153"/>
      <c r="BN120" s="153"/>
      <c r="BO120" s="153"/>
      <c r="BQ120" s="153"/>
      <c r="BR120" s="153" t="s">
        <v>1939</v>
      </c>
    </row>
    <row r="121" spans="1:90" x14ac:dyDescent="0.25">
      <c r="A121" s="153" t="s">
        <v>1938</v>
      </c>
      <c r="B121" s="153">
        <v>2</v>
      </c>
      <c r="C121" s="153"/>
      <c r="D121" s="153"/>
      <c r="E121" s="153"/>
      <c r="F121" s="153"/>
      <c r="G121" s="153"/>
      <c r="H121" s="153"/>
      <c r="I121" s="153"/>
      <c r="W121" s="153"/>
      <c r="Y121" s="153"/>
      <c r="AO121" s="153"/>
      <c r="AP121" s="153"/>
      <c r="AQ121" s="153"/>
      <c r="AR121" s="153"/>
      <c r="AS121" s="153"/>
      <c r="AT121" s="153"/>
      <c r="AU121" s="153"/>
      <c r="AV121" s="153"/>
      <c r="AW121" s="153"/>
      <c r="AX121" s="153"/>
      <c r="AY121" s="153"/>
      <c r="AZ121" s="153"/>
      <c r="BA121" s="153"/>
      <c r="BB121" s="153"/>
      <c r="BC121" s="153"/>
      <c r="BD121" s="153"/>
      <c r="BL121" s="153"/>
      <c r="BM121" s="153"/>
      <c r="BN121" s="153"/>
      <c r="BO121" s="153"/>
      <c r="BQ121" s="153"/>
      <c r="BR121" s="153" t="s">
        <v>1940</v>
      </c>
    </row>
    <row r="122" spans="1:90" x14ac:dyDescent="0.25">
      <c r="A122" s="153" t="s">
        <v>1938</v>
      </c>
      <c r="B122" s="153">
        <v>3</v>
      </c>
      <c r="C122" s="153"/>
      <c r="D122" s="153"/>
      <c r="E122" s="153"/>
      <c r="F122" s="153"/>
      <c r="G122" s="153"/>
      <c r="H122" s="153"/>
      <c r="I122" s="153"/>
      <c r="W122" s="153"/>
      <c r="Y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L122" s="153"/>
      <c r="BM122" s="153"/>
      <c r="BN122" s="153"/>
      <c r="BO122" s="153"/>
      <c r="BQ122" s="153"/>
      <c r="BR122" s="153" t="s">
        <v>1941</v>
      </c>
    </row>
    <row r="123" spans="1:90" x14ac:dyDescent="0.25">
      <c r="A123" s="153" t="s">
        <v>1942</v>
      </c>
      <c r="B123" s="153">
        <v>1</v>
      </c>
      <c r="C123" s="153"/>
      <c r="D123" s="153" t="s">
        <v>1932</v>
      </c>
      <c r="E123" s="153"/>
      <c r="F123" s="153" t="s">
        <v>3</v>
      </c>
      <c r="G123" s="153" t="s">
        <v>3</v>
      </c>
      <c r="H123" s="153" t="s">
        <v>3</v>
      </c>
      <c r="I123" s="153" t="s">
        <v>3</v>
      </c>
      <c r="W123" s="153"/>
      <c r="Y123" s="153"/>
      <c r="Z123" s="153" t="s">
        <v>3</v>
      </c>
      <c r="AO123" s="153"/>
      <c r="AP123" s="153"/>
      <c r="AQ123" s="153"/>
      <c r="AR123" s="153"/>
      <c r="AS123" s="153"/>
      <c r="AT123" s="153" t="s">
        <v>3</v>
      </c>
      <c r="AU123" s="153"/>
      <c r="AV123" s="153"/>
      <c r="AW123" s="153"/>
      <c r="AX123" s="153"/>
      <c r="AY123" s="153"/>
      <c r="AZ123" s="153"/>
      <c r="BA123" s="153"/>
      <c r="BB123" s="153"/>
      <c r="BC123" s="153"/>
      <c r="BD123" s="153"/>
      <c r="BL123" s="155"/>
      <c r="BM123" s="153"/>
      <c r="BN123" s="153"/>
      <c r="BO123" s="153"/>
      <c r="BQ123" s="155" t="s">
        <v>1943</v>
      </c>
      <c r="BR123" s="156"/>
    </row>
    <row r="124" spans="1:90" x14ac:dyDescent="0.25">
      <c r="A124" s="153" t="s">
        <v>1944</v>
      </c>
      <c r="B124" s="153">
        <v>1</v>
      </c>
      <c r="C124" s="153"/>
      <c r="D124" s="153"/>
      <c r="E124" s="153"/>
      <c r="F124" s="153" t="s">
        <v>3</v>
      </c>
      <c r="G124" s="153" t="s">
        <v>3</v>
      </c>
      <c r="H124" s="153" t="s">
        <v>3</v>
      </c>
      <c r="I124" s="153"/>
      <c r="W124" s="153"/>
      <c r="Y124" s="153"/>
      <c r="AO124" s="153"/>
      <c r="AP124" s="153"/>
      <c r="AQ124" s="153"/>
      <c r="AR124" s="153"/>
      <c r="AS124" s="153"/>
      <c r="AT124" s="153"/>
      <c r="AU124" s="153" t="s">
        <v>3</v>
      </c>
      <c r="AV124" s="153"/>
      <c r="AW124" s="153"/>
      <c r="AX124" s="153" t="s">
        <v>3</v>
      </c>
      <c r="AY124" s="153"/>
      <c r="AZ124" s="153"/>
      <c r="BA124" s="153"/>
      <c r="BB124" s="153"/>
      <c r="BC124" s="153"/>
      <c r="BD124" s="153"/>
      <c r="BL124" s="153"/>
      <c r="BM124" s="153"/>
      <c r="BN124" s="153"/>
      <c r="BO124" s="153"/>
      <c r="BQ124" s="155" t="s">
        <v>1930</v>
      </c>
      <c r="BR124" s="153" t="s">
        <v>1854</v>
      </c>
    </row>
    <row r="125" spans="1:90" x14ac:dyDescent="0.25">
      <c r="A125" s="153" t="s">
        <v>1945</v>
      </c>
      <c r="B125" s="153">
        <v>1</v>
      </c>
      <c r="C125" s="153"/>
      <c r="D125" s="153"/>
      <c r="E125" s="153"/>
      <c r="F125" s="153" t="s">
        <v>3</v>
      </c>
      <c r="G125" s="153" t="s">
        <v>3</v>
      </c>
      <c r="H125" s="153" t="s">
        <v>3</v>
      </c>
      <c r="I125" s="153"/>
      <c r="W125" s="153"/>
      <c r="Y125" s="153"/>
      <c r="AO125" s="153"/>
      <c r="AP125" s="153"/>
      <c r="AQ125" s="153"/>
      <c r="AR125" s="153"/>
      <c r="AS125" s="153"/>
      <c r="AT125" s="153"/>
      <c r="AU125" s="153" t="s">
        <v>3</v>
      </c>
      <c r="AV125" s="153"/>
      <c r="AW125" s="153"/>
      <c r="AX125" s="153" t="s">
        <v>3</v>
      </c>
      <c r="AY125" s="153"/>
      <c r="AZ125" s="153"/>
      <c r="BA125" s="153"/>
      <c r="BB125" s="153"/>
      <c r="BC125" s="153"/>
      <c r="BD125" s="153"/>
      <c r="BL125" s="153"/>
      <c r="BM125" s="153"/>
      <c r="BN125" s="153"/>
      <c r="BO125" s="153"/>
      <c r="BQ125" s="155" t="s">
        <v>1930</v>
      </c>
      <c r="BR125" s="153" t="s">
        <v>1854</v>
      </c>
    </row>
    <row r="126" spans="1:90" x14ac:dyDescent="0.25">
      <c r="A126" s="153" t="s">
        <v>1946</v>
      </c>
      <c r="B126" s="153">
        <v>1</v>
      </c>
      <c r="C126" s="153"/>
      <c r="D126" s="153"/>
      <c r="E126" s="153"/>
      <c r="F126" s="153" t="s">
        <v>3</v>
      </c>
      <c r="G126" s="153" t="s">
        <v>3</v>
      </c>
      <c r="H126" s="153" t="s">
        <v>3</v>
      </c>
      <c r="I126" s="153"/>
      <c r="W126" s="153"/>
      <c r="Y126" s="153"/>
      <c r="AO126" s="153"/>
      <c r="AP126" s="153"/>
      <c r="AQ126" s="153"/>
      <c r="AR126" s="153"/>
      <c r="AS126" s="153"/>
      <c r="AT126" s="153"/>
      <c r="AU126" s="153" t="s">
        <v>3</v>
      </c>
      <c r="AV126" s="153"/>
      <c r="AW126" s="153"/>
      <c r="AX126" s="153" t="s">
        <v>3</v>
      </c>
      <c r="AY126" s="153"/>
      <c r="AZ126" s="153"/>
      <c r="BA126" s="153"/>
      <c r="BB126" s="153"/>
      <c r="BC126" s="153"/>
      <c r="BD126" s="153"/>
      <c r="BL126" s="153"/>
      <c r="BM126" s="153"/>
      <c r="BN126" s="153"/>
      <c r="BO126" s="153"/>
      <c r="BQ126" s="155" t="s">
        <v>1930</v>
      </c>
      <c r="BR126" s="153" t="s">
        <v>1854</v>
      </c>
    </row>
    <row r="127" spans="1:90" x14ac:dyDescent="0.25">
      <c r="A127" s="153" t="s">
        <v>1947</v>
      </c>
      <c r="B127" s="153">
        <v>1</v>
      </c>
      <c r="C127" s="153"/>
      <c r="D127" s="153"/>
      <c r="E127" s="153"/>
      <c r="F127" s="153" t="s">
        <v>3</v>
      </c>
      <c r="G127" s="153" t="s">
        <v>3</v>
      </c>
      <c r="H127" s="153" t="s">
        <v>3</v>
      </c>
      <c r="I127" s="153"/>
      <c r="W127" s="153"/>
      <c r="Y127" s="153"/>
      <c r="AO127" s="153"/>
      <c r="AP127" s="153"/>
      <c r="AQ127" s="153"/>
      <c r="AR127" s="153"/>
      <c r="AS127" s="153"/>
      <c r="AT127" s="153"/>
      <c r="AU127" s="153" t="s">
        <v>3</v>
      </c>
      <c r="AV127" s="153"/>
      <c r="AW127" s="153"/>
      <c r="AX127" s="153" t="s">
        <v>3</v>
      </c>
      <c r="AY127" s="153"/>
      <c r="AZ127" s="153"/>
      <c r="BA127" s="153"/>
      <c r="BB127" s="153"/>
      <c r="BC127" s="153"/>
      <c r="BD127" s="153"/>
      <c r="BL127" s="153"/>
      <c r="BM127" s="153"/>
      <c r="BN127" s="153"/>
      <c r="BO127" s="153"/>
      <c r="BQ127" s="155" t="s">
        <v>1930</v>
      </c>
      <c r="BR127" s="153" t="s">
        <v>1854</v>
      </c>
    </row>
    <row r="128" spans="1:90" x14ac:dyDescent="0.25">
      <c r="A128" s="153" t="s">
        <v>1948</v>
      </c>
      <c r="B128" s="153">
        <v>1</v>
      </c>
      <c r="C128" s="153"/>
      <c r="D128" s="153"/>
      <c r="E128" s="153"/>
      <c r="F128" s="153" t="s">
        <v>3</v>
      </c>
      <c r="G128" s="153" t="s">
        <v>3</v>
      </c>
      <c r="H128" s="153" t="s">
        <v>3</v>
      </c>
      <c r="I128" s="153"/>
      <c r="W128" s="153"/>
      <c r="Y128" s="153"/>
      <c r="AO128" s="153"/>
      <c r="AP128" s="153"/>
      <c r="AQ128" s="153"/>
      <c r="AR128" s="153"/>
      <c r="AS128" s="153"/>
      <c r="AT128" s="153"/>
      <c r="AU128" s="153" t="s">
        <v>3</v>
      </c>
      <c r="AV128" s="153"/>
      <c r="AW128" s="153"/>
      <c r="AX128" s="153" t="s">
        <v>3</v>
      </c>
      <c r="AY128" s="153"/>
      <c r="AZ128" s="153"/>
      <c r="BA128" s="153"/>
      <c r="BB128" s="153"/>
      <c r="BC128" s="153"/>
      <c r="BD128" s="153"/>
      <c r="BL128" s="153"/>
      <c r="BM128" s="153"/>
      <c r="BN128" s="153"/>
      <c r="BO128" s="153"/>
      <c r="BQ128" s="155" t="s">
        <v>1930</v>
      </c>
      <c r="BR128" s="153" t="s">
        <v>1854</v>
      </c>
    </row>
    <row r="129" spans="1:91" x14ac:dyDescent="0.25">
      <c r="A129" s="153" t="s">
        <v>1949</v>
      </c>
      <c r="B129" s="153">
        <v>1</v>
      </c>
      <c r="C129" s="153"/>
      <c r="D129" s="153"/>
      <c r="E129" s="153"/>
      <c r="F129" s="153" t="s">
        <v>3</v>
      </c>
      <c r="G129" s="153" t="s">
        <v>3</v>
      </c>
      <c r="H129" s="153" t="s">
        <v>3</v>
      </c>
      <c r="I129" s="153"/>
      <c r="W129" s="153"/>
      <c r="Y129" s="153"/>
      <c r="AO129" s="153"/>
      <c r="AP129" s="153"/>
      <c r="AQ129" s="153"/>
      <c r="AR129" s="153"/>
      <c r="AS129" s="153"/>
      <c r="AT129" s="153"/>
      <c r="AU129" s="153" t="s">
        <v>3</v>
      </c>
      <c r="AV129" s="153"/>
      <c r="AW129" s="153"/>
      <c r="AX129" s="153" t="s">
        <v>3</v>
      </c>
      <c r="AY129" s="153"/>
      <c r="AZ129" s="153"/>
      <c r="BA129" s="153"/>
      <c r="BB129" s="153"/>
      <c r="BC129" s="153"/>
      <c r="BD129" s="153"/>
      <c r="BL129" s="153"/>
      <c r="BM129" s="153"/>
      <c r="BN129" s="153"/>
      <c r="BO129" s="153"/>
      <c r="BQ129" s="155" t="s">
        <v>1930</v>
      </c>
      <c r="BR129" s="153" t="s">
        <v>1854</v>
      </c>
    </row>
    <row r="130" spans="1:91" x14ac:dyDescent="0.25">
      <c r="A130" s="153" t="s">
        <v>1950</v>
      </c>
      <c r="B130" s="153">
        <v>1</v>
      </c>
      <c r="C130" s="153"/>
      <c r="D130" s="153"/>
      <c r="E130" s="153"/>
      <c r="F130" s="153" t="s">
        <v>3</v>
      </c>
      <c r="G130" s="153" t="s">
        <v>3</v>
      </c>
      <c r="H130" s="153" t="s">
        <v>3</v>
      </c>
      <c r="I130" s="153"/>
      <c r="W130" s="153"/>
      <c r="Y130" s="153"/>
      <c r="AO130" s="153"/>
      <c r="AP130" s="153"/>
      <c r="AQ130" s="153"/>
      <c r="AR130" s="153"/>
      <c r="AS130" s="153"/>
      <c r="AT130" s="153"/>
      <c r="AU130" s="153" t="s">
        <v>3</v>
      </c>
      <c r="AV130" s="153"/>
      <c r="AW130" s="153"/>
      <c r="AX130" s="153" t="s">
        <v>3</v>
      </c>
      <c r="AY130" s="153"/>
      <c r="AZ130" s="153"/>
      <c r="BA130" s="153"/>
      <c r="BB130" s="153"/>
      <c r="BC130" s="153"/>
      <c r="BD130" s="153"/>
      <c r="BL130" s="153"/>
      <c r="BM130" s="153"/>
      <c r="BN130" s="153"/>
      <c r="BO130" s="153"/>
      <c r="BQ130" s="155" t="s">
        <v>1930</v>
      </c>
      <c r="BR130" s="153" t="s">
        <v>1854</v>
      </c>
    </row>
    <row r="131" spans="1:91" x14ac:dyDescent="0.25">
      <c r="A131" s="153" t="s">
        <v>1951</v>
      </c>
      <c r="B131" s="153">
        <v>1</v>
      </c>
      <c r="C131" s="153"/>
      <c r="D131" s="153"/>
      <c r="E131" s="153"/>
      <c r="F131" s="153" t="s">
        <v>3</v>
      </c>
      <c r="G131" s="153" t="s">
        <v>3</v>
      </c>
      <c r="H131" s="153" t="s">
        <v>3</v>
      </c>
      <c r="I131" s="153"/>
      <c r="W131" s="153"/>
      <c r="Y131" s="153"/>
      <c r="AO131" s="153"/>
      <c r="AP131" s="153"/>
      <c r="AQ131" s="153"/>
      <c r="AR131" s="153"/>
      <c r="AS131" s="153"/>
      <c r="AT131" s="153"/>
      <c r="AU131" s="153" t="s">
        <v>3</v>
      </c>
      <c r="AV131" s="153"/>
      <c r="AW131" s="153"/>
      <c r="AX131" s="153" t="s">
        <v>3</v>
      </c>
      <c r="AY131" s="153"/>
      <c r="AZ131" s="153"/>
      <c r="BA131" s="153"/>
      <c r="BB131" s="153"/>
      <c r="BC131" s="153"/>
      <c r="BD131" s="153"/>
      <c r="BL131" s="153"/>
      <c r="BM131" s="153"/>
      <c r="BN131" s="153"/>
      <c r="BO131" s="153"/>
      <c r="BQ131" s="155" t="s">
        <v>1930</v>
      </c>
      <c r="BR131" s="153" t="s">
        <v>1854</v>
      </c>
    </row>
    <row r="132" spans="1:91" x14ac:dyDescent="0.25">
      <c r="A132" s="153" t="s">
        <v>1952</v>
      </c>
      <c r="B132" s="153">
        <v>1</v>
      </c>
      <c r="C132" s="153"/>
      <c r="D132" s="153"/>
      <c r="E132" s="153"/>
      <c r="F132" s="153" t="s">
        <v>3</v>
      </c>
      <c r="G132" s="153" t="s">
        <v>3</v>
      </c>
      <c r="H132" s="153" t="s">
        <v>3</v>
      </c>
      <c r="I132" s="153"/>
      <c r="W132" s="153"/>
      <c r="Y132" s="153"/>
      <c r="AO132" s="153"/>
      <c r="AP132" s="153"/>
      <c r="AQ132" s="153"/>
      <c r="AR132" s="153"/>
      <c r="AS132" s="153"/>
      <c r="AT132" s="153"/>
      <c r="AU132" s="153" t="s">
        <v>3</v>
      </c>
      <c r="AV132" s="153"/>
      <c r="AW132" s="153"/>
      <c r="AX132" s="153" t="s">
        <v>3</v>
      </c>
      <c r="AY132" s="153"/>
      <c r="AZ132" s="153"/>
      <c r="BA132" s="153"/>
      <c r="BB132" s="153"/>
      <c r="BC132" s="153"/>
      <c r="BD132" s="153"/>
      <c r="BL132" s="153"/>
      <c r="BM132" s="153"/>
      <c r="BN132" s="153"/>
      <c r="BO132" s="153"/>
      <c r="BQ132" s="155" t="s">
        <v>1930</v>
      </c>
      <c r="BR132" s="153" t="s">
        <v>1854</v>
      </c>
    </row>
    <row r="133" spans="1:91" x14ac:dyDescent="0.25">
      <c r="A133" s="153" t="s">
        <v>1953</v>
      </c>
      <c r="B133" s="153">
        <v>1</v>
      </c>
      <c r="C133" s="153"/>
      <c r="D133" s="153"/>
      <c r="E133" s="153"/>
      <c r="F133" s="153" t="s">
        <v>3</v>
      </c>
      <c r="G133" s="153" t="s">
        <v>3</v>
      </c>
      <c r="H133" s="153" t="s">
        <v>3</v>
      </c>
      <c r="I133" s="153"/>
      <c r="W133" s="153"/>
      <c r="Y133" s="153"/>
      <c r="AO133" s="153"/>
      <c r="AP133" s="153"/>
      <c r="AQ133" s="153"/>
      <c r="AR133" s="153"/>
      <c r="AS133" s="153"/>
      <c r="AT133" s="153"/>
      <c r="AU133" s="153" t="s">
        <v>3</v>
      </c>
      <c r="AV133" s="153"/>
      <c r="AW133" s="153"/>
      <c r="AX133" s="153" t="s">
        <v>3</v>
      </c>
      <c r="AY133" s="153"/>
      <c r="AZ133" s="153"/>
      <c r="BA133" s="153"/>
      <c r="BB133" s="153"/>
      <c r="BC133" s="153"/>
      <c r="BD133" s="153"/>
      <c r="BL133" s="153"/>
      <c r="BM133" s="153"/>
      <c r="BN133" s="153"/>
      <c r="BO133" s="153"/>
      <c r="BQ133" s="155" t="s">
        <v>1930</v>
      </c>
      <c r="BR133" s="153" t="s">
        <v>1854</v>
      </c>
    </row>
    <row r="134" spans="1:91" x14ac:dyDescent="0.25">
      <c r="A134" s="153" t="s">
        <v>1954</v>
      </c>
      <c r="B134" s="153">
        <v>1</v>
      </c>
      <c r="C134" s="153"/>
      <c r="D134" s="153"/>
      <c r="E134" s="153"/>
      <c r="F134" s="153" t="s">
        <v>3</v>
      </c>
      <c r="G134" s="153" t="s">
        <v>3</v>
      </c>
      <c r="H134" s="153" t="s">
        <v>3</v>
      </c>
      <c r="I134" s="153"/>
      <c r="W134" s="153"/>
      <c r="Y134" s="153"/>
      <c r="AO134" s="153"/>
      <c r="AP134" s="153"/>
      <c r="AQ134" s="153"/>
      <c r="AR134" s="153"/>
      <c r="AS134" s="153"/>
      <c r="AT134" s="153"/>
      <c r="AU134" s="153" t="s">
        <v>3</v>
      </c>
      <c r="AV134" s="153"/>
      <c r="AW134" s="153"/>
      <c r="AX134" s="153" t="s">
        <v>3</v>
      </c>
      <c r="AY134" s="153"/>
      <c r="AZ134" s="153"/>
      <c r="BA134" s="153"/>
      <c r="BB134" s="153"/>
      <c r="BC134" s="153"/>
      <c r="BD134" s="153"/>
      <c r="BL134" s="153"/>
      <c r="BM134" s="153"/>
      <c r="BN134" s="153"/>
      <c r="BO134" s="153"/>
      <c r="BQ134" s="155" t="s">
        <v>1930</v>
      </c>
      <c r="BR134" s="153" t="s">
        <v>1854</v>
      </c>
    </row>
    <row r="135" spans="1:91" x14ac:dyDescent="0.25">
      <c r="A135" s="153" t="s">
        <v>1955</v>
      </c>
      <c r="B135" s="153">
        <v>1</v>
      </c>
      <c r="C135" s="153"/>
      <c r="D135" s="153"/>
      <c r="E135" s="153"/>
      <c r="F135" s="153" t="s">
        <v>3</v>
      </c>
      <c r="G135" s="153" t="s">
        <v>3</v>
      </c>
      <c r="H135" s="153" t="s">
        <v>3</v>
      </c>
      <c r="I135" s="153"/>
      <c r="W135" s="153"/>
      <c r="Y135" s="153"/>
      <c r="AO135" s="153"/>
      <c r="AP135" s="153"/>
      <c r="AQ135" s="153"/>
      <c r="AR135" s="153"/>
      <c r="AS135" s="153"/>
      <c r="AT135" s="153"/>
      <c r="AU135" s="153" t="s">
        <v>3</v>
      </c>
      <c r="AV135" s="153"/>
      <c r="AW135" s="153"/>
      <c r="AX135" s="153" t="s">
        <v>3</v>
      </c>
      <c r="AY135" s="153"/>
      <c r="AZ135" s="153"/>
      <c r="BA135" s="153"/>
      <c r="BB135" s="153"/>
      <c r="BC135" s="153"/>
      <c r="BD135" s="153"/>
      <c r="BL135" s="153"/>
      <c r="BM135" s="153"/>
      <c r="BN135" s="153"/>
      <c r="BO135" s="153"/>
      <c r="BQ135" s="155" t="s">
        <v>1930</v>
      </c>
      <c r="BR135" s="153" t="s">
        <v>1854</v>
      </c>
    </row>
    <row r="136" spans="1:91" x14ac:dyDescent="0.25">
      <c r="A136" s="153" t="s">
        <v>1956</v>
      </c>
      <c r="B136" s="153">
        <v>1</v>
      </c>
      <c r="C136" s="153"/>
      <c r="D136" s="153"/>
      <c r="E136" s="153"/>
      <c r="F136" s="153" t="s">
        <v>3</v>
      </c>
      <c r="G136" s="153" t="s">
        <v>3</v>
      </c>
      <c r="H136" s="153" t="s">
        <v>3</v>
      </c>
      <c r="I136" s="153"/>
      <c r="W136" s="153"/>
      <c r="Y136" s="153"/>
      <c r="AO136" s="153"/>
      <c r="AP136" s="153"/>
      <c r="AQ136" s="153"/>
      <c r="AR136" s="153"/>
      <c r="AS136" s="153"/>
      <c r="AT136" s="153"/>
      <c r="AU136" s="153" t="s">
        <v>3</v>
      </c>
      <c r="AV136" s="153"/>
      <c r="AW136" s="153"/>
      <c r="AX136" s="153" t="s">
        <v>3</v>
      </c>
      <c r="AY136" s="153"/>
      <c r="AZ136" s="153"/>
      <c r="BA136" s="153"/>
      <c r="BB136" s="153"/>
      <c r="BC136" s="153"/>
      <c r="BD136" s="153"/>
      <c r="BL136" s="153"/>
      <c r="BM136" s="153"/>
      <c r="BN136" s="153"/>
      <c r="BO136" s="153"/>
      <c r="BQ136" s="155" t="s">
        <v>1930</v>
      </c>
      <c r="BR136" s="153" t="s">
        <v>1854</v>
      </c>
    </row>
    <row r="137" spans="1:91" x14ac:dyDescent="0.25">
      <c r="A137" s="125" t="s">
        <v>1927</v>
      </c>
      <c r="B137" s="125">
        <v>1</v>
      </c>
      <c r="C137" s="125"/>
      <c r="D137" s="125"/>
      <c r="E137" s="125"/>
      <c r="F137" s="125" t="s">
        <v>3</v>
      </c>
      <c r="G137" s="125" t="s">
        <v>3</v>
      </c>
      <c r="H137" s="125" t="s">
        <v>3</v>
      </c>
      <c r="I137" s="125"/>
      <c r="J137" s="125"/>
      <c r="K137" s="125"/>
      <c r="L137" s="125"/>
      <c r="M137" s="125"/>
      <c r="N137" s="125"/>
      <c r="O137" s="125" t="s">
        <v>1896</v>
      </c>
      <c r="P137" s="125"/>
      <c r="Q137" s="125"/>
      <c r="R137" s="125"/>
      <c r="S137" s="125"/>
      <c r="T137" s="125"/>
      <c r="U137" s="125"/>
      <c r="V137" s="125"/>
      <c r="W137" s="125"/>
      <c r="X137" s="125"/>
      <c r="Y137" s="125" t="s">
        <v>3</v>
      </c>
      <c r="Z137" s="125"/>
      <c r="AA137" s="125"/>
      <c r="AB137" s="125"/>
      <c r="AC137" s="125"/>
      <c r="AD137" s="125"/>
      <c r="AE137" s="125"/>
      <c r="AF137" s="125"/>
      <c r="AG137" s="125"/>
      <c r="AH137" s="125"/>
      <c r="AI137" s="125"/>
      <c r="AJ137" s="125"/>
      <c r="AK137" s="125"/>
      <c r="AL137" s="125"/>
      <c r="AM137" s="125"/>
      <c r="AN137" s="125"/>
      <c r="AO137" s="125" t="s">
        <v>3</v>
      </c>
      <c r="AP137" s="125"/>
      <c r="AQ137" s="125"/>
      <c r="AR137" s="125"/>
      <c r="AS137" s="125"/>
      <c r="AT137" s="125" t="s">
        <v>3</v>
      </c>
      <c r="AU137" s="125" t="s">
        <v>3</v>
      </c>
      <c r="AV137" s="125"/>
      <c r="AW137" s="125"/>
      <c r="AX137" s="125"/>
      <c r="AY137" s="125"/>
      <c r="AZ137" s="125"/>
      <c r="BA137" s="125"/>
      <c r="BB137" s="125"/>
      <c r="BC137" s="125"/>
      <c r="BD137" s="125"/>
      <c r="BE137" s="125"/>
      <c r="BF137" s="125"/>
      <c r="BG137" s="125"/>
      <c r="BH137" s="125"/>
      <c r="BI137" s="125"/>
      <c r="BJ137" s="125"/>
      <c r="BK137" s="125"/>
      <c r="BL137" s="125"/>
      <c r="BM137" s="125"/>
      <c r="BN137" s="125"/>
      <c r="BO137" s="125"/>
      <c r="BP137" s="125"/>
      <c r="BQ137" s="147"/>
      <c r="BR137" s="125" t="s">
        <v>1957</v>
      </c>
      <c r="BS137" s="125"/>
      <c r="BT137" s="125"/>
      <c r="BU137" s="125"/>
      <c r="BV137" s="125"/>
      <c r="BW137" s="125"/>
      <c r="BX137" s="125"/>
      <c r="BY137" s="125"/>
      <c r="BZ137" s="125"/>
      <c r="CA137" s="125"/>
      <c r="CB137" s="125"/>
      <c r="CC137" s="125"/>
      <c r="CD137" s="125"/>
      <c r="CE137" s="125"/>
      <c r="CF137" s="125"/>
      <c r="CG137" s="125"/>
      <c r="CH137" s="125"/>
      <c r="CI137" s="125"/>
      <c r="CJ137" s="125"/>
      <c r="CK137" s="125"/>
      <c r="CL137" s="125"/>
      <c r="CM137" s="125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3"/>
  <sheetViews>
    <sheetView zoomScale="85" zoomScaleNormal="85" workbookViewId="0">
      <selection activeCell="A4" sqref="A4"/>
    </sheetView>
  </sheetViews>
  <sheetFormatPr defaultRowHeight="15" x14ac:dyDescent="0.25"/>
  <cols>
    <col min="1" max="1" width="6.140625" style="15" bestFit="1" customWidth="1" collapsed="1"/>
    <col min="2" max="2" width="9.140625" style="15" collapsed="1"/>
    <col min="3" max="3" width="10.42578125" style="15" bestFit="1" customWidth="1" collapsed="1"/>
    <col min="4" max="4" width="18.85546875" style="15" bestFit="1" customWidth="1" collapsed="1"/>
    <col min="5" max="6" width="18.85546875" style="15" customWidth="1" collapsed="1"/>
    <col min="7" max="7" width="19.85546875" style="15" bestFit="1" customWidth="1" collapsed="1"/>
    <col min="8" max="8" width="19" style="15" customWidth="1" collapsed="1"/>
    <col min="9" max="9" width="15.5703125" style="15" bestFit="1" customWidth="1" collapsed="1"/>
    <col min="10" max="10" width="15.5703125" style="15" customWidth="1" collapsed="1"/>
    <col min="11" max="12" width="19" style="15" customWidth="1" collapsed="1"/>
    <col min="13" max="16384" width="9.140625" style="15" collapsed="1"/>
  </cols>
  <sheetData>
    <row r="1" spans="1:12" x14ac:dyDescent="0.25">
      <c r="A1" s="9" t="s">
        <v>0</v>
      </c>
      <c r="B1" s="9" t="s">
        <v>18</v>
      </c>
      <c r="C1" s="9" t="s">
        <v>69</v>
      </c>
      <c r="D1" s="9" t="s">
        <v>1147</v>
      </c>
      <c r="E1" s="9" t="s">
        <v>1148</v>
      </c>
      <c r="F1" s="9" t="s">
        <v>1150</v>
      </c>
      <c r="G1" s="9" t="s">
        <v>1152</v>
      </c>
      <c r="H1" s="19" t="s">
        <v>805</v>
      </c>
      <c r="I1" s="9" t="s">
        <v>1154</v>
      </c>
      <c r="J1" s="9" t="s">
        <v>56</v>
      </c>
      <c r="K1" s="9" t="s">
        <v>977</v>
      </c>
      <c r="L1" s="19" t="s">
        <v>805</v>
      </c>
    </row>
    <row r="2" spans="1:12" x14ac:dyDescent="0.25">
      <c r="A2" s="2" t="s">
        <v>922</v>
      </c>
      <c r="B2" s="2">
        <v>1</v>
      </c>
      <c r="C2" s="2" t="s">
        <v>3</v>
      </c>
      <c r="D2" s="2" t="s">
        <v>3</v>
      </c>
      <c r="E2" s="2" t="s">
        <v>1149</v>
      </c>
      <c r="F2" s="2" t="s">
        <v>1151</v>
      </c>
      <c r="G2" s="14" t="s">
        <v>308</v>
      </c>
      <c r="H2" s="2" t="s">
        <v>1153</v>
      </c>
      <c r="I2" s="12" t="s">
        <v>308</v>
      </c>
      <c r="J2" s="12" t="s">
        <v>308</v>
      </c>
      <c r="K2" s="2" t="s">
        <v>308</v>
      </c>
      <c r="L2" s="2" t="s">
        <v>950</v>
      </c>
    </row>
    <row r="3" spans="1:12" x14ac:dyDescent="0.25">
      <c r="A3" s="2" t="s">
        <v>1121</v>
      </c>
      <c r="B3" s="2">
        <v>1</v>
      </c>
      <c r="C3" s="2" t="s">
        <v>3</v>
      </c>
      <c r="D3" s="2" t="s">
        <v>3</v>
      </c>
      <c r="E3" s="2" t="s">
        <v>1149</v>
      </c>
      <c r="F3" s="2" t="s">
        <v>1151</v>
      </c>
      <c r="G3" s="14" t="s">
        <v>308</v>
      </c>
      <c r="H3" s="2" t="s">
        <v>1153</v>
      </c>
      <c r="I3" s="12" t="s">
        <v>308</v>
      </c>
      <c r="J3" s="12" t="s">
        <v>308</v>
      </c>
      <c r="K3" s="2" t="s">
        <v>308</v>
      </c>
      <c r="L3" s="2" t="s">
        <v>950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mlkX2NsYXNzaWZpY2F0aW9uX25vbmJ1c2luZXNzIiB2YWx1ZT0iIiB4bWxucz0iaHR0cDovL3d3dy5ib2xkb25qYW1lcy5jb20vMjAwOC8wMS9zaWUvaW50ZXJuYWwvbGFiZWwiIC8+PC9zaXNsPjxVc2VyTmFtZT5BRDFcY3BnNzA0NjwvVXNlck5hbWU+PERhdGVUaW1lPjEwLzE5LzIwMTYgNjoyOTo0NCBQTTwvRGF0ZVRpbWU+PExhYmVsU3RyaW5nPlB1YmxpY2x5IEF2YWlsYWJsZTwvTGFiZWxTdHJpbmc+PC9pdGVtPjwvbGFiZWxIaXN0b3J5Pg==</Value>
</WrappedLabelHistory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id_classification_nonbusiness" value=""/>
</sisl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9E824D-7D5A-4491-96A4-6E81F505E9E4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2229BFBF-366E-42FA-8DA5-10BAE4D2DE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A887617-4096-4E36-8CD7-211A97C8203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E0EA7743-33F8-4856-B99D-1D3B24CCC73E}">
  <ds:schemaRefs>
    <ds:schemaRef ds:uri="http://www.w3.org/2001/XMLSchema"/>
    <ds:schemaRef ds:uri="http://www.boldonjames.com/2008/01/sie/internal/label"/>
  </ds:schemaRefs>
</ds:datastoreItem>
</file>

<file path=customXml/itemProps5.xml><?xml version="1.0" encoding="utf-8"?>
<ds:datastoreItem xmlns:ds="http://schemas.openxmlformats.org/officeDocument/2006/customXml" ds:itemID="{F0AFCBCB-F1F0-4D64-85D6-75ABF60C2C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TestCase</vt:lpstr>
      <vt:lpstr>Login</vt:lpstr>
      <vt:lpstr>LogOut</vt:lpstr>
      <vt:lpstr>GetDataFromPCForODS</vt:lpstr>
      <vt:lpstr>MDM</vt:lpstr>
      <vt:lpstr>ODS</vt:lpstr>
      <vt:lpstr>SearchPolicy</vt:lpstr>
      <vt:lpstr>Validation</vt:lpstr>
      <vt:lpstr>TestData</vt:lpstr>
      <vt:lpstr>SearchAffinityGroup</vt:lpstr>
      <vt:lpstr>SearchAffinityGroup_1</vt:lpstr>
      <vt:lpstr>NewAffinityGroup</vt:lpstr>
      <vt:lpstr>NewAffinityGroup_1</vt:lpstr>
      <vt:lpstr>SearchNewAccount</vt:lpstr>
      <vt:lpstr>CreateAccount</vt:lpstr>
      <vt:lpstr>EditAccount</vt:lpstr>
      <vt:lpstr>SearchAccount</vt:lpstr>
      <vt:lpstr>PolicyMove</vt:lpstr>
      <vt:lpstr>AccountMerge</vt:lpstr>
      <vt:lpstr>AccountMergeVerification</vt:lpstr>
      <vt:lpstr>ActivityPattern</vt:lpstr>
      <vt:lpstr>ManageActivity</vt:lpstr>
      <vt:lpstr>CLAPolicyInfo</vt:lpstr>
      <vt:lpstr>AccountContact</vt:lpstr>
      <vt:lpstr>NewSubmission</vt:lpstr>
      <vt:lpstr>PolicyInfo</vt:lpstr>
      <vt:lpstr>Locations</vt:lpstr>
      <vt:lpstr>StateCoverage</vt:lpstr>
      <vt:lpstr>LineCoverage</vt:lpstr>
      <vt:lpstr>WCOptions</vt:lpstr>
      <vt:lpstr>RiskAnalysis</vt:lpstr>
      <vt:lpstr>PolicyReview</vt:lpstr>
      <vt:lpstr>Payment</vt:lpstr>
      <vt:lpstr>Contact</vt:lpstr>
      <vt:lpstr>CancelPolicy</vt:lpstr>
      <vt:lpstr>ReinstatePolicy</vt:lpstr>
      <vt:lpstr>PolicyChange</vt:lpstr>
      <vt:lpstr>CLAPayment</vt:lpstr>
      <vt:lpstr>MaintainanceTransactions</vt:lpstr>
      <vt:lpstr>RenewalPolicy</vt:lpstr>
      <vt:lpstr>RewritePolicySOR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NAVEENKRISHNA</dc:creator>
  <cp:keywords>#P^bl1c# </cp:keywords>
  <cp:lastModifiedBy>Paneerselvam, Subramaniam</cp:lastModifiedBy>
  <dcterms:created xsi:type="dcterms:W3CDTF">2014-06-21T06:06:09Z</dcterms:created>
  <dcterms:modified xsi:type="dcterms:W3CDTF">2017-06-06T07:02:36Z</dcterms:modified>
  <cp:category>Public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4c62fa1c-4bb8-4aa4-88d7-dfa0d175ee42</vt:lpwstr>
  </property>
  <property fmtid="{D5CDD505-2E9C-101B-9397-08002B2CF9AE}" pid="3" name="bjSaver">
    <vt:lpwstr>QM/C9f8k+/XZkFZo7aUtHwyVPMDNYNIC</vt:lpwstr>
  </property>
  <property fmtid="{D5CDD505-2E9C-101B-9397-08002B2CF9AE}" pid="4" name="bjLabelHistoryID">
    <vt:lpwstr>{A59E824D-7D5A-4491-96A4-6E81F505E9E4}</vt:lpwstr>
  </property>
  <property fmtid="{D5CDD505-2E9C-101B-9397-08002B2CF9AE}" pid="5" name="bjDocumentSecurityLabel">
    <vt:lpwstr>Publicly Available</vt:lpwstr>
  </property>
  <property fmtid="{D5CDD505-2E9C-101B-9397-08002B2CF9AE}" pid="6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7" name="bjDocumentLabelXML-0">
    <vt:lpwstr>ames.com/2008/01/sie/internal/label"&gt;&lt;element uid="id_classification_nonbusiness" value="" /&gt;&lt;/sisl&gt;</vt:lpwstr>
  </property>
  <property fmtid="{D5CDD505-2E9C-101B-9397-08002B2CF9AE}" pid="8" name="ContentTypeId">
    <vt:lpwstr>0x0101000FABC0525E39FF42AC7288710BA653D2</vt:lpwstr>
  </property>
</Properties>
</file>